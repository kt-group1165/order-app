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codeName="{28389E77-7640-9E18-AD5C-E98E2F4A8B83}"/>
  <workbookPr codeName="ThisWorkbook"/>
  <mc:AlternateContent xmlns:mc="http://schemas.openxmlformats.org/markup-compatibility/2006">
    <mc:Choice Requires="x15">
      <x15ac:absPath xmlns:x15ac="http://schemas.microsoft.com/office/spreadsheetml/2010/11/ac" url="C:\Users\domen-PC\Downloads\スマホアプリ作成（ＡＩ活用）\order-app\"/>
    </mc:Choice>
  </mc:AlternateContent>
  <xr:revisionPtr revIDLastSave="0" documentId="8_{4C07D7A6-965E-4192-9451-9EE7F703F1A1}" xr6:coauthVersionLast="47" xr6:coauthVersionMax="47" xr10:uidLastSave="{00000000-0000-0000-0000-000000000000}"/>
  <bookViews>
    <workbookView xWindow="-110" yWindow="-110" windowWidth="19420" windowHeight="11500" xr2:uid="{00000000-000D-0000-FFFF-FFFF00000000}"/>
  </bookViews>
  <sheets>
    <sheet name="入力用フォーマット" sheetId="9" r:id="rId1"/>
    <sheet name="口座振替の案内" sheetId="4" r:id="rId2"/>
    <sheet name="2020.06.17~【最新】介護R契約書（約款変更・3割・新" sheetId="2" state="hidden" r:id="rId3"/>
    <sheet name="鶴岡さん印刷用" sheetId="5" state="hidden" r:id="rId4"/>
    <sheet name="澤田さん空印刷用" sheetId="10" state="hidden" r:id="rId5"/>
  </sheets>
  <definedNames>
    <definedName name="_xlnm.Print_Area" localSheetId="2">'2020.06.17~【最新】介護R契約書（約款変更・3割・新'!$A$1:$Q$406</definedName>
    <definedName name="_xlnm.Print_Area" localSheetId="1">口座振替の案内!$A$1:$P$42</definedName>
    <definedName name="_xlnm.Print_Area" localSheetId="3">鶴岡さん印刷用!$A$1:$Q$406</definedName>
    <definedName name="_xlnm.Print_Area" localSheetId="0">入力用フォーマット!$A$1:$P$406</definedName>
    <definedName name="_xlnm.Print_Area" localSheetId="4">澤田さん空印刷用!$A$1:$Q$406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45" i="9" l="1"/>
  <c r="A11" i="9" l="1"/>
  <c r="C219" i="9"/>
  <c r="D219" i="9"/>
  <c r="W69" i="9"/>
  <c r="W70" i="9"/>
  <c r="W71" i="9"/>
  <c r="W72" i="9"/>
  <c r="W73" i="9"/>
  <c r="W74" i="9"/>
  <c r="W75" i="9"/>
  <c r="W76" i="9"/>
  <c r="W77" i="9"/>
  <c r="W78" i="9"/>
  <c r="W79" i="9"/>
  <c r="W80" i="9"/>
  <c r="W81" i="9"/>
  <c r="W82" i="9"/>
  <c r="W83" i="9"/>
  <c r="W84" i="9"/>
  <c r="W85" i="9"/>
  <c r="W86" i="9"/>
  <c r="W87" i="9"/>
  <c r="W88" i="9"/>
  <c r="W89" i="9"/>
  <c r="W90" i="9"/>
  <c r="W91" i="9"/>
  <c r="W92" i="9"/>
  <c r="W68" i="9"/>
  <c r="AA109" i="9"/>
  <c r="AA108" i="9"/>
  <c r="AA107" i="9"/>
  <c r="AA106" i="9"/>
  <c r="AA105" i="9"/>
  <c r="AA104" i="9"/>
  <c r="AA103" i="9"/>
  <c r="AA102" i="9"/>
  <c r="AA101" i="9"/>
  <c r="AA100" i="9"/>
  <c r="AA99" i="9"/>
  <c r="AA98" i="9"/>
  <c r="AA97" i="9"/>
  <c r="Z98" i="9" l="1"/>
  <c r="J70" i="9" s="1"/>
  <c r="Z101" i="9"/>
  <c r="J73" i="9" s="1"/>
  <c r="X97" i="9"/>
  <c r="A69" i="9" s="1"/>
  <c r="Z108" i="9"/>
  <c r="Z104" i="9"/>
  <c r="J76" i="9" s="1"/>
  <c r="Z100" i="9"/>
  <c r="J72" i="9" s="1"/>
  <c r="Z109" i="9"/>
  <c r="Z105" i="9"/>
  <c r="J77" i="9" s="1"/>
  <c r="Y97" i="9"/>
  <c r="D69" i="9" s="1"/>
  <c r="Z107" i="9"/>
  <c r="Z103" i="9"/>
  <c r="J75" i="9" s="1"/>
  <c r="Z99" i="9"/>
  <c r="J71" i="9" s="1"/>
  <c r="Z97" i="9"/>
  <c r="J69" i="9" s="1"/>
  <c r="Z106" i="9"/>
  <c r="J78" i="9" s="1"/>
  <c r="Z102" i="9"/>
  <c r="J74" i="9" s="1"/>
  <c r="X98" i="9"/>
  <c r="A70" i="9" s="1"/>
  <c r="Y99" i="9"/>
  <c r="D71" i="9" s="1"/>
  <c r="Y98" i="9"/>
  <c r="D70" i="9" s="1"/>
  <c r="X99" i="9"/>
  <c r="A71" i="9" s="1"/>
  <c r="Y107" i="9"/>
  <c r="X106" i="9"/>
  <c r="A78" i="9" s="1"/>
  <c r="X102" i="9"/>
  <c r="A74" i="9" s="1"/>
  <c r="Y106" i="9"/>
  <c r="D78" i="9" s="1"/>
  <c r="Y102" i="9"/>
  <c r="D74" i="9" s="1"/>
  <c r="X107" i="9"/>
  <c r="X109" i="9"/>
  <c r="X105" i="9"/>
  <c r="A77" i="9" s="1"/>
  <c r="X101" i="9"/>
  <c r="A73" i="9" s="1"/>
  <c r="Y109" i="9"/>
  <c r="Y105" i="9"/>
  <c r="D77" i="9" s="1"/>
  <c r="Y101" i="9"/>
  <c r="D73" i="9" s="1"/>
  <c r="X103" i="9"/>
  <c r="A75" i="9" s="1"/>
  <c r="Y103" i="9"/>
  <c r="D75" i="9" s="1"/>
  <c r="X108" i="9"/>
  <c r="X104" i="9"/>
  <c r="A76" i="9" s="1"/>
  <c r="X100" i="9"/>
  <c r="A72" i="9" s="1"/>
  <c r="Y108" i="9"/>
  <c r="Y104" i="9"/>
  <c r="D76" i="9" s="1"/>
  <c r="Y100" i="9"/>
  <c r="D72" i="9" s="1"/>
  <c r="O77" i="9" l="1"/>
  <c r="M77" i="9"/>
  <c r="M76" i="9"/>
  <c r="O76" i="9"/>
  <c r="O78" i="9"/>
  <c r="M78" i="9"/>
  <c r="O74" i="9"/>
  <c r="M74" i="9"/>
  <c r="M72" i="9"/>
  <c r="O72" i="9"/>
  <c r="M71" i="9"/>
  <c r="O71" i="9"/>
  <c r="O70" i="9"/>
  <c r="M70" i="9"/>
  <c r="M75" i="9"/>
  <c r="O75" i="9"/>
  <c r="M73" i="9"/>
  <c r="O73" i="9"/>
  <c r="O69" i="9"/>
  <c r="M69" i="9"/>
  <c r="D238" i="9" l="1"/>
  <c r="F345" i="9"/>
  <c r="D345" i="9"/>
  <c r="F352" i="9"/>
  <c r="G255" i="9"/>
  <c r="J348" i="9"/>
  <c r="I219" i="9"/>
  <c r="F219" i="9"/>
  <c r="C247" i="9"/>
  <c r="O79" i="9" l="1"/>
  <c r="M7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堂面</author>
  </authors>
  <commentList>
    <comment ref="A144" authorId="0" shapeId="0" xr:uid="{A6779B39-1276-4FF5-ACD0-54BABC48C1CB}">
      <text>
        <r>
          <rPr>
            <b/>
            <sz val="9"/>
            <color indexed="81"/>
            <rFont val="MS P ゴシック"/>
            <family val="3"/>
            <charset val="128"/>
          </rPr>
          <t>PCSはCSのみ</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堂面</author>
  </authors>
  <commentList>
    <comment ref="A142" authorId="0" shapeId="0" xr:uid="{390F0FAE-F018-487F-AAE7-D8E5767BE570}">
      <text>
        <r>
          <rPr>
            <b/>
            <sz val="9"/>
            <color indexed="81"/>
            <rFont val="MS P ゴシック"/>
            <family val="3"/>
            <charset val="128"/>
          </rPr>
          <t>PCSはCSのみ</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堂面</author>
  </authors>
  <commentList>
    <comment ref="A142" authorId="0" shapeId="0" xr:uid="{D7149BC2-D28D-4C31-874F-2A984D2F96B7}">
      <text>
        <r>
          <rPr>
            <b/>
            <sz val="9"/>
            <color indexed="81"/>
            <rFont val="MS P ゴシック"/>
            <family val="3"/>
            <charset val="128"/>
          </rPr>
          <t>PCSはCSのみ</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堂面</author>
  </authors>
  <commentList>
    <comment ref="A142" authorId="0" shapeId="0" xr:uid="{0CD61081-9B09-45E5-8FD6-8C6F5653EE2A}">
      <text>
        <r>
          <rPr>
            <b/>
            <sz val="9"/>
            <color indexed="81"/>
            <rFont val="MS P ゴシック"/>
            <family val="3"/>
            <charset val="128"/>
          </rPr>
          <t>PCSはCSのみ</t>
        </r>
      </text>
    </comment>
  </commentList>
</comments>
</file>

<file path=xl/sharedStrings.xml><?xml version="1.0" encoding="utf-8"?>
<sst xmlns="http://schemas.openxmlformats.org/spreadsheetml/2006/main" count="1455" uniqueCount="405">
  <si>
    <t>第１条（契約の目的）</t>
  </si>
  <si>
    <t>第２条（契約期間）</t>
  </si>
  <si>
    <t>第３条（専門相談員）</t>
  </si>
  <si>
    <t>第４条（（介護予防）福祉用具貸与の内容）</t>
  </si>
  <si>
    <t>第５条（福祉用具貸与計画の作成）</t>
  </si>
  <si>
    <t>第６条（サービス提供の記録）</t>
  </si>
  <si>
    <t>第７条（料金）</t>
  </si>
  <si>
    <t>種目</t>
  </si>
  <si>
    <t>月額料金</t>
  </si>
  <si>
    <t>数量</t>
  </si>
  <si>
    <t>利用者負担</t>
  </si>
  <si>
    <t>初月利用者負担</t>
  </si>
  <si>
    <t>特殊寝台</t>
  </si>
  <si>
    <t>特殊寝台付属品</t>
  </si>
  <si>
    <t>合　計</t>
  </si>
  <si>
    <t>第８条（（介護予防）福祉用具貸与の変更）</t>
  </si>
  <si>
    <t>　３　前記第２項については、同一製品に限り有効で、他製品への変更は、遠慮させていただきます。</t>
  </si>
  <si>
    <t>第９条（料金の変更）</t>
  </si>
  <si>
    <t>第１０条（契約の終了）</t>
  </si>
  <si>
    <t>　３　次の事由に該当した場合は､利用者は文書で通知することにより､直ちにこの契約を解約することができます｡</t>
  </si>
  <si>
    <t>　４　次の事由に該当した場合は､事業者は文書で通知することにより､直ちにこの契約を解約することができます｡</t>
  </si>
  <si>
    <t>　５　次の事由に該当した場合は､この契約は自動的に終了します｡</t>
  </si>
  <si>
    <t>第１１条（守秘義務）</t>
  </si>
  <si>
    <t>第１２条（利用者及びその家族等の義務）</t>
  </si>
  <si>
    <t>第１３条（福祉用具の保管･消毒）</t>
  </si>
  <si>
    <t>第１４条（賠償責任）</t>
  </si>
  <si>
    <t>【個人情報の取り扱いについて】</t>
  </si>
  <si>
    <t>　　</t>
  </si>
  <si>
    <t>利用者　　</t>
  </si>
  <si>
    <r>
      <t>＜住　所＞</t>
    </r>
    <r>
      <rPr>
        <u/>
        <sz val="10"/>
        <color theme="1"/>
        <rFont val="ＭＳ Ｐゴシック"/>
        <family val="3"/>
        <charset val="128"/>
      </rPr>
      <t>　　　　　　　　　　　　　　　　　　　　　　　　　　　　　　　　　　　　　　　　　　　　　　　</t>
    </r>
  </si>
  <si>
    <r>
      <t>＜氏　名＞</t>
    </r>
    <r>
      <rPr>
        <u/>
        <sz val="10"/>
        <color theme="1"/>
        <rFont val="ＭＳ Ｐゴシック"/>
        <family val="3"/>
        <charset val="128"/>
      </rPr>
      <t>　　　　　　　　　　　　　　　　　　　　　　　　　　　　　　　　　　　　印</t>
    </r>
  </si>
  <si>
    <t>代理人　　</t>
  </si>
  <si>
    <t>事　業　者</t>
  </si>
  <si>
    <t>福祉用具貸与重要事項説明書</t>
  </si>
  <si>
    <t>○管理者　</t>
  </si>
  <si>
    <t>重要事項</t>
  </si>
  <si>
    <t>1．事業所の概要</t>
  </si>
  <si>
    <t>事　業　者　名</t>
  </si>
  <si>
    <t>福 祉 用 具 貸 与 事 業 所 名</t>
  </si>
  <si>
    <t>事　業　所　所　在　地</t>
  </si>
  <si>
    <t>介護保険指定番号及びその他サービス</t>
  </si>
  <si>
    <t>管理者・連絡先</t>
  </si>
  <si>
    <t>通常の事業の実施地域</t>
  </si>
  <si>
    <t>　　※通常のサービス提供地域以外の方も希望される方はご気軽にご相談ください。</t>
  </si>
  <si>
    <t>２．事業所の職員体制　</t>
  </si>
  <si>
    <t>職種</t>
  </si>
  <si>
    <t>常　　　勤</t>
  </si>
  <si>
    <t>非　常　勤</t>
  </si>
  <si>
    <t>管理者 兼 専門相談員</t>
  </si>
  <si>
    <t>１名</t>
  </si>
  <si>
    <t>０名</t>
  </si>
  <si>
    <t>専門相談員</t>
  </si>
  <si>
    <t>事務･配送職員</t>
  </si>
  <si>
    <t>３．営業日・営業時間</t>
  </si>
  <si>
    <t>営業日</t>
  </si>
  <si>
    <t>月曜日～金曜日</t>
  </si>
  <si>
    <t>注）土・日曜、祝祭日、夏期休暇（8／13～8／15）、年末年始休暇（12／30～1／3）を休業とする。</t>
  </si>
  <si>
    <t>車いす</t>
  </si>
  <si>
    <t>車いす付属品</t>
  </si>
  <si>
    <t>褥瘡予防用具</t>
  </si>
  <si>
    <t>体位変換機</t>
  </si>
  <si>
    <t>手すり</t>
  </si>
  <si>
    <t>スロープ</t>
  </si>
  <si>
    <t>歩行器</t>
  </si>
  <si>
    <t>歩行補助杖</t>
  </si>
  <si>
    <t>認知症老人徘徊感知機器</t>
  </si>
  <si>
    <t>移動用リフト</t>
  </si>
  <si>
    <t>自動排泄処理装置</t>
  </si>
  <si>
    <r>
      <t>　　</t>
    </r>
    <r>
      <rPr>
        <sz val="10"/>
        <color theme="1"/>
        <rFont val="ＭＳ Ｐゴシック"/>
        <family val="3"/>
        <charset val="128"/>
      </rPr>
      <t>介護予防福祉用具貸与にて取り扱う福祉用具の種目は、以下のとおりです。</t>
    </r>
  </si>
  <si>
    <t>歩行補助つえ</t>
  </si>
  <si>
    <t>５．サービスの利用方法</t>
  </si>
  <si>
    <t>　（１）サービスの利用開始</t>
  </si>
  <si>
    <t>　 （２）サービスの終了</t>
  </si>
  <si>
    <t>　　　②当社の都合によりサービスを終了する場合（終了1ヶ月前までに通知します。）</t>
  </si>
  <si>
    <t>　　　③自動終了</t>
  </si>
  <si>
    <t>６．当社の（介護予防）福祉用具貸与の運営の方針</t>
  </si>
  <si>
    <t>　（１）運営の方針</t>
  </si>
  <si>
    <t>（２）その他重要事項</t>
  </si>
  <si>
    <t>　　　・　専門相談員の資質向上のために、定期的に福祉用具に関する適切な研修の機会を設けます。</t>
  </si>
  <si>
    <t>７．サービス内容に関する相談･苦情</t>
  </si>
  <si>
    <t>当社以外に、区役所・市役所・町、村役場などでも相談･苦情等に対する窓口があります。</t>
  </si>
  <si>
    <t>千葉市</t>
  </si>
  <si>
    <t>市原市</t>
  </si>
  <si>
    <t>保健福祉部　高齢者支援課</t>
  </si>
  <si>
    <t>０４３６－２３－９８７３</t>
  </si>
  <si>
    <t>木更津市</t>
  </si>
  <si>
    <t>　　　事業者</t>
  </si>
  <si>
    <t>〇　利用者等に福祉用具搬入後、取扱説明書を説明し交付する。</t>
  </si>
  <si>
    <t>〇　利用者等に貸与する福祉用具を使用しながら、使用方法を説明する。</t>
  </si>
  <si>
    <t>〇　当該商品の全国平均貸与価格と、その貸与事業所の貸与価格の両方を利用者に説明する。</t>
  </si>
  <si>
    <r>
      <t>　　　　　　　＜利用者氏名＞　</t>
    </r>
    <r>
      <rPr>
        <u/>
        <sz val="11"/>
        <color theme="1"/>
        <rFont val="ＭＳ ゴシック"/>
        <family val="3"/>
        <charset val="128"/>
      </rPr>
      <t>　　　　　　　　　　　　　　　　　</t>
    </r>
    <r>
      <rPr>
        <sz val="11"/>
        <color theme="1"/>
        <rFont val="ＭＳ ゴシック"/>
        <family val="3"/>
        <charset val="128"/>
      </rPr>
      <t>印</t>
    </r>
  </si>
  <si>
    <t>福祉用具納品時確認事項</t>
  </si>
  <si>
    <t>●福祉用具適合確認</t>
  </si>
  <si>
    <t>NO</t>
  </si>
  <si>
    <t>項 目</t>
  </si>
  <si>
    <t>●衛生状態</t>
  </si>
  <si>
    <t>口座自動振替（引き落とし）のご案内</t>
  </si>
  <si>
    <t>引落し指定口座は民間金融機関　及び、郵便局のどちらでもご利用可能です。</t>
  </si>
  <si>
    <t>お支払いの流れは以下のとおりとなります。</t>
  </si>
  <si>
    <r>
      <t>①</t>
    </r>
    <r>
      <rPr>
        <sz val="7"/>
        <color theme="1"/>
        <rFont val="Times New Roman"/>
        <family val="1"/>
      </rPr>
      <t xml:space="preserve">  </t>
    </r>
    <r>
      <rPr>
        <sz val="12"/>
        <color theme="1"/>
        <rFont val="ＭＳ ゴシック"/>
        <family val="3"/>
        <charset val="128"/>
      </rPr>
      <t>ご利用月末締め分ごとにご請求</t>
    </r>
  </si>
  <si>
    <r>
      <t>②</t>
    </r>
    <r>
      <rPr>
        <sz val="7"/>
        <color theme="1"/>
        <rFont val="Times New Roman"/>
        <family val="1"/>
      </rPr>
      <t xml:space="preserve">  </t>
    </r>
    <r>
      <rPr>
        <sz val="12"/>
        <color theme="1"/>
        <rFont val="ＭＳ ゴシック"/>
        <family val="3"/>
        <charset val="128"/>
      </rPr>
      <t>翌月26日～末日までに引落し事前請求明細書郵送</t>
    </r>
  </si>
  <si>
    <r>
      <t>③</t>
    </r>
    <r>
      <rPr>
        <sz val="7"/>
        <color theme="1"/>
        <rFont val="Times New Roman"/>
        <family val="1"/>
      </rPr>
      <t xml:space="preserve">  </t>
    </r>
    <r>
      <rPr>
        <sz val="12"/>
        <color theme="1"/>
        <rFont val="ＭＳ ゴシック"/>
        <family val="3"/>
        <charset val="128"/>
      </rPr>
      <t>翌々月6日引き落とし（土日祭日の場合は翌営業日）</t>
    </r>
  </si>
  <si>
    <t>例）平成31年1月ご利用分についてのご請求</t>
  </si>
  <si>
    <t>②　2/26前後に引落し事前請求明細書郵送（1月分）</t>
  </si>
  <si>
    <t>　　　　　　　　　　　　　　　　　　　　　　　　　</t>
  </si>
  <si>
    <r>
      <t>※</t>
    </r>
    <r>
      <rPr>
        <sz val="7"/>
        <color theme="1"/>
        <rFont val="Times New Roman"/>
        <family val="1"/>
      </rPr>
      <t xml:space="preserve">  </t>
    </r>
    <r>
      <rPr>
        <b/>
        <u/>
        <sz val="12"/>
        <color theme="1"/>
        <rFont val="ＭＳ ゴシック"/>
        <family val="3"/>
        <charset val="128"/>
      </rPr>
      <t>口座振替依頼書の申込人名記入欄にはご利用者様のお名前をご記入ください。</t>
    </r>
  </si>
  <si>
    <r>
      <t>※</t>
    </r>
    <r>
      <rPr>
        <sz val="7"/>
        <color theme="1"/>
        <rFont val="Times New Roman"/>
        <family val="1"/>
      </rPr>
      <t xml:space="preserve">  </t>
    </r>
    <r>
      <rPr>
        <b/>
        <u/>
        <sz val="12"/>
        <color theme="1"/>
        <rFont val="ＭＳ ゴシック"/>
        <family val="3"/>
        <charset val="128"/>
      </rPr>
      <t>申込人住所欄に記入されたご住所へ利用者名で請求書が送付されます。</t>
    </r>
  </si>
  <si>
    <t>介護（介護予防）福祉用具貸与サービス契約書</t>
    <phoneticPr fontId="39"/>
  </si>
  <si>
    <t>　２　貸与する福祉用具の機能、安全性、衛生状態などを考慮し、十分な点検を行います。</t>
    <phoneticPr fontId="39"/>
  </si>
  <si>
    <t>　　す。</t>
    <phoneticPr fontId="39"/>
  </si>
  <si>
    <t>　３　利用者は、当該利用者に関する第１項のサービス実施記録等の複写物の交付を無料で受けることができます。</t>
    <phoneticPr fontId="39"/>
  </si>
  <si>
    <t>　２　搬出入にかかる費用は、現に福祉用具貸与に要した費用に含まれるものとし、別にいただきません。</t>
    <phoneticPr fontId="39"/>
  </si>
  <si>
    <r>
      <t>　　①</t>
    </r>
    <r>
      <rPr>
        <sz val="7"/>
        <color theme="1"/>
        <rFont val="Times New Roman"/>
        <family val="1"/>
      </rPr>
      <t xml:space="preserve">    </t>
    </r>
    <r>
      <rPr>
        <sz val="10"/>
        <color theme="1"/>
        <rFont val="ＭＳ Ｐゴシック"/>
        <family val="3"/>
        <charset val="128"/>
      </rPr>
      <t>事業者が正当な理由なくサービスを提供しない場合</t>
    </r>
    <phoneticPr fontId="39"/>
  </si>
  <si>
    <r>
      <t>　　②</t>
    </r>
    <r>
      <rPr>
        <sz val="7"/>
        <color theme="1"/>
        <rFont val="Times New Roman"/>
        <family val="1"/>
      </rPr>
      <t xml:space="preserve">    </t>
    </r>
    <r>
      <rPr>
        <sz val="10"/>
        <color theme="1"/>
        <rFont val="ＭＳ Ｐゴシック"/>
        <family val="3"/>
        <charset val="128"/>
      </rPr>
      <t>事業者が守秘義務に反した場合</t>
    </r>
    <phoneticPr fontId="39"/>
  </si>
  <si>
    <r>
      <t>　　③</t>
    </r>
    <r>
      <rPr>
        <sz val="7"/>
        <color theme="1"/>
        <rFont val="Times New Roman"/>
        <family val="1"/>
      </rPr>
      <t xml:space="preserve">    </t>
    </r>
    <r>
      <rPr>
        <sz val="10"/>
        <color theme="1"/>
        <rFont val="ＭＳ Ｐゴシック"/>
        <family val="3"/>
        <charset val="128"/>
      </rPr>
      <t>事業者が利用者やその家族などに対して社会理念を逸脱する行為を行った場合</t>
    </r>
    <phoneticPr fontId="39"/>
  </si>
  <si>
    <r>
      <t>　　④</t>
    </r>
    <r>
      <rPr>
        <sz val="7"/>
        <color theme="1"/>
        <rFont val="Times New Roman"/>
        <family val="1"/>
      </rPr>
      <t xml:space="preserve">    </t>
    </r>
    <r>
      <rPr>
        <sz val="10"/>
        <color theme="1"/>
        <rFont val="ＭＳ Ｐゴシック"/>
        <family val="3"/>
        <charset val="128"/>
      </rPr>
      <t>事業者が破産した場合</t>
    </r>
    <phoneticPr fontId="39"/>
  </si>
  <si>
    <r>
      <t>　　①</t>
    </r>
    <r>
      <rPr>
        <sz val="7"/>
        <color theme="1"/>
        <rFont val="Times New Roman"/>
        <family val="1"/>
      </rPr>
      <t xml:space="preserve">    </t>
    </r>
    <r>
      <rPr>
        <sz val="10"/>
        <color theme="1"/>
        <rFont val="ＭＳ Ｐゴシック"/>
        <family val="3"/>
        <charset val="128"/>
      </rPr>
      <t>利用者が介護保健施設に入所した場合</t>
    </r>
    <phoneticPr fontId="39"/>
  </si>
  <si>
    <r>
      <t>　　③</t>
    </r>
    <r>
      <rPr>
        <sz val="7"/>
        <color theme="1"/>
        <rFont val="Times New Roman"/>
        <family val="1"/>
      </rPr>
      <t xml:space="preserve">    </t>
    </r>
    <r>
      <rPr>
        <sz val="10"/>
        <color theme="1"/>
        <rFont val="ＭＳ Ｐゴシック"/>
        <family val="3"/>
        <charset val="128"/>
      </rPr>
      <t>医療機関への入院</t>
    </r>
    <phoneticPr fontId="39"/>
  </si>
  <si>
    <r>
      <t>　　④</t>
    </r>
    <r>
      <rPr>
        <sz val="7"/>
        <color theme="1"/>
        <rFont val="Times New Roman"/>
        <family val="1"/>
      </rPr>
      <t xml:space="preserve">    </t>
    </r>
    <r>
      <rPr>
        <sz val="10"/>
        <color theme="1"/>
        <rFont val="ＭＳ Ｐゴシック"/>
        <family val="3"/>
        <charset val="128"/>
      </rPr>
      <t>利用者が亡くなられたとき</t>
    </r>
    <phoneticPr fontId="39"/>
  </si>
  <si>
    <t>　　　報を用いません｡</t>
    <phoneticPr fontId="39"/>
  </si>
  <si>
    <t>　３　事業者は、利用者が苦情等を申し立てた場合であっても、これを理由にしていかなる不利益な扱いをしません。</t>
    <phoneticPr fontId="39"/>
  </si>
  <si>
    <r>
      <t>＜住　所＞</t>
    </r>
    <r>
      <rPr>
        <u/>
        <sz val="10"/>
        <color theme="1"/>
        <rFont val="ＭＳ Ｐゴシック"/>
        <family val="3"/>
        <charset val="128"/>
      </rPr>
      <t>　　　　　　　　　　　　　　　　　　　　　　　　　　　　　　　　　　　　　　　　　　　　　　　</t>
    </r>
    <phoneticPr fontId="39"/>
  </si>
  <si>
    <t>　　午前9時00分～午後6時00分</t>
    <phoneticPr fontId="39"/>
  </si>
  <si>
    <t>営業時間</t>
    <phoneticPr fontId="39"/>
  </si>
  <si>
    <t>スロープ</t>
    <phoneticPr fontId="39"/>
  </si>
  <si>
    <t>※住宅改修につきましても介護保険により支給されますので、希望される方はご相談ください。</t>
    <phoneticPr fontId="39"/>
  </si>
  <si>
    <t>4．福祉用具貸与の内容等</t>
    <phoneticPr fontId="39"/>
  </si>
  <si>
    <t>　　福祉用具貸与にて取り扱う福祉用具の種目は、以下のとおりです。　</t>
    <phoneticPr fontId="39"/>
  </si>
  <si>
    <t>　　　①お客様の都合によりサービスを終了する場合</t>
    <phoneticPr fontId="39"/>
  </si>
  <si>
    <t>　　　　　やむを得ない事情により、当社よりサービスの提供を終了させていただく場合があります。</t>
    <phoneticPr fontId="39"/>
  </si>
  <si>
    <t>　　　　　以下の場合は、文書による通知がなくても、自動的にサービスを終了させて頂きます。</t>
    <phoneticPr fontId="39"/>
  </si>
  <si>
    <r>
      <t>　　　・</t>
    </r>
    <r>
      <rPr>
        <sz val="7"/>
        <color theme="1"/>
        <rFont val="Times New Roman"/>
        <family val="1"/>
      </rPr>
      <t xml:space="preserve">  </t>
    </r>
    <r>
      <rPr>
        <sz val="10"/>
        <color theme="1"/>
        <rFont val="ＭＳ Ｐゴシック"/>
        <family val="3"/>
        <charset val="128"/>
      </rPr>
      <t>お客様の要介護認定区分が、更新申請などにより、自立と認定された場合（この場合、条件を変更して再</t>
    </r>
    <phoneticPr fontId="39"/>
  </si>
  <si>
    <r>
      <t>　　　・</t>
    </r>
    <r>
      <rPr>
        <sz val="7"/>
        <color theme="1"/>
        <rFont val="Times New Roman"/>
        <family val="1"/>
      </rPr>
      <t xml:space="preserve">  </t>
    </r>
    <r>
      <rPr>
        <sz val="10"/>
        <color theme="1"/>
        <rFont val="ＭＳ Ｐゴシック"/>
        <family val="3"/>
        <charset val="128"/>
      </rPr>
      <t>お客様が介護保健施設に入所された場合</t>
    </r>
    <phoneticPr fontId="39"/>
  </si>
  <si>
    <r>
      <t>　　　・</t>
    </r>
    <r>
      <rPr>
        <sz val="7"/>
        <color theme="1"/>
        <rFont val="Times New Roman"/>
        <family val="1"/>
      </rPr>
      <t xml:space="preserve">  </t>
    </r>
    <r>
      <rPr>
        <sz val="10"/>
        <color theme="1"/>
        <rFont val="ＭＳ Ｐゴシック"/>
        <family val="3"/>
        <charset val="128"/>
      </rPr>
      <t>医療機関へご入院された場合</t>
    </r>
    <phoneticPr fontId="39"/>
  </si>
  <si>
    <r>
      <t>　　　・</t>
    </r>
    <r>
      <rPr>
        <sz val="7"/>
        <color theme="1"/>
        <rFont val="Times New Roman"/>
        <family val="1"/>
      </rPr>
      <t xml:space="preserve">  </t>
    </r>
    <r>
      <rPr>
        <sz val="10"/>
        <color theme="1"/>
        <rFont val="ＭＳ Ｐゴシック"/>
        <family val="3"/>
        <charset val="128"/>
      </rPr>
      <t>お客様が亡くなられた場合</t>
    </r>
    <phoneticPr fontId="39"/>
  </si>
  <si>
    <r>
      <t>　　　④</t>
    </r>
    <r>
      <rPr>
        <sz val="7"/>
        <color theme="1"/>
        <rFont val="Times New Roman"/>
        <family val="1"/>
      </rPr>
      <t xml:space="preserve">    </t>
    </r>
    <r>
      <rPr>
        <sz val="10"/>
        <color theme="1"/>
        <rFont val="ＭＳ Ｐゴシック"/>
        <family val="3"/>
        <charset val="128"/>
      </rPr>
      <t>その他</t>
    </r>
    <phoneticPr fontId="39"/>
  </si>
  <si>
    <t>　　　　　・　当社が正当な理由なく適切なサービスを提供しない場合、守秘義務に反した場合、お客様やその家族な</t>
    <phoneticPr fontId="39"/>
  </si>
  <si>
    <r>
      <t xml:space="preserve">              ＜代理人氏名＞　</t>
    </r>
    <r>
      <rPr>
        <u/>
        <sz val="11"/>
        <color theme="1"/>
        <rFont val="ＭＳ ゴシック"/>
        <family val="3"/>
        <charset val="128"/>
      </rPr>
      <t>　　　　　　　　　　　　　　　　　</t>
    </r>
    <r>
      <rPr>
        <sz val="11"/>
        <color theme="1"/>
        <rFont val="ＭＳ ゴシック"/>
        <family val="3"/>
        <charset val="128"/>
      </rPr>
      <t>印</t>
    </r>
    <phoneticPr fontId="39"/>
  </si>
  <si>
    <t>福祉用具貸与商品</t>
    <phoneticPr fontId="39"/>
  </si>
  <si>
    <t>ご利用者様、ご家族様のご要望に沿ったものでしょうか？</t>
    <phoneticPr fontId="39"/>
  </si>
  <si>
    <t>ご利用者様の身体状況、介護状況、生活環境に真に適したものでしょうか？</t>
    <phoneticPr fontId="39"/>
  </si>
  <si>
    <t>商品説明に不足な点や分かりにくい点はないでしょうか？</t>
    <phoneticPr fontId="39"/>
  </si>
  <si>
    <t>確認</t>
    <rPh sb="0" eb="2">
      <t>カクニン</t>
    </rPh>
    <phoneticPr fontId="39"/>
  </si>
  <si>
    <t>印</t>
    <rPh sb="0" eb="1">
      <t>イン</t>
    </rPh>
    <phoneticPr fontId="39"/>
  </si>
  <si>
    <t>納品時に作動させてみた上で、不具合・動きが悪い箇所はございませんか？</t>
    <rPh sb="0" eb="2">
      <t>ノウヒン</t>
    </rPh>
    <rPh sb="2" eb="3">
      <t>ジ</t>
    </rPh>
    <rPh sb="4" eb="6">
      <t>サドウ</t>
    </rPh>
    <rPh sb="11" eb="12">
      <t>ウエ</t>
    </rPh>
    <rPh sb="14" eb="17">
      <t>フグアイ</t>
    </rPh>
    <rPh sb="18" eb="19">
      <t>ウゴ</t>
    </rPh>
    <rPh sb="21" eb="22">
      <t>ワル</t>
    </rPh>
    <rPh sb="23" eb="25">
      <t>カショ</t>
    </rPh>
    <phoneticPr fontId="39"/>
  </si>
  <si>
    <t>フレームのゆがみ、ビスの欠落、その他気付く点はございませんか？</t>
    <rPh sb="12" eb="14">
      <t>ケツラク</t>
    </rPh>
    <rPh sb="17" eb="18">
      <t>タ</t>
    </rPh>
    <rPh sb="18" eb="20">
      <t>キヅ</t>
    </rPh>
    <rPh sb="21" eb="22">
      <t>テン</t>
    </rPh>
    <phoneticPr fontId="39"/>
  </si>
  <si>
    <t>実際に確認（目で見る・触るなど）してみて汚れ、衛生上の問題はないでしょうか？</t>
    <rPh sb="0" eb="2">
      <t>ジッサイ</t>
    </rPh>
    <rPh sb="3" eb="5">
      <t>カクニン</t>
    </rPh>
    <rPh sb="6" eb="7">
      <t>メ</t>
    </rPh>
    <rPh sb="8" eb="9">
      <t>ミ</t>
    </rPh>
    <rPh sb="11" eb="12">
      <t>サワ</t>
    </rPh>
    <rPh sb="20" eb="21">
      <t>ヨゴ</t>
    </rPh>
    <rPh sb="23" eb="26">
      <t>エイセイジョウ</t>
    </rPh>
    <rPh sb="27" eb="29">
      <t>モンダイ</t>
    </rPh>
    <phoneticPr fontId="39"/>
  </si>
  <si>
    <t>気になる傷等はございませんでしょうか？</t>
    <rPh sb="0" eb="1">
      <t>キ</t>
    </rPh>
    <rPh sb="4" eb="5">
      <t>キズ</t>
    </rPh>
    <rPh sb="5" eb="6">
      <t>トウ</t>
    </rPh>
    <phoneticPr fontId="39"/>
  </si>
  <si>
    <t xml:space="preserve"> 私は、（介護予防）福祉用具貸与の提供について利用者またはその家族等に対して、契約書</t>
    <phoneticPr fontId="39"/>
  </si>
  <si>
    <t>及び本書面によって重要事項を説明しました。</t>
    <phoneticPr fontId="39"/>
  </si>
  <si>
    <t xml:space="preserve"> 私は、契約書及び本書面によって事業者から福祉用具貸与事業について重要事項及び上記につ</t>
    <phoneticPr fontId="39"/>
  </si>
  <si>
    <t>いて説明を受けました。</t>
    <phoneticPr fontId="39"/>
  </si>
  <si>
    <t>　その他、ご請求方法にご希望がございましたら、担当までお申しつけください。</t>
    <phoneticPr fontId="39"/>
  </si>
  <si>
    <t>　　日までとします。</t>
    <phoneticPr fontId="39"/>
  </si>
  <si>
    <t>　２　契約満了の１週間前までに、利用者から事業者に対して、文書又は口頭で契約終了の申し出がない場合、契約</t>
    <phoneticPr fontId="39"/>
  </si>
  <si>
    <t>　　は自動更新されるものとします。</t>
    <phoneticPr fontId="39"/>
  </si>
  <si>
    <t>　１　福祉用具が適切に選定され、かつ使用されるよう、専門的知識に基づき、利用者からの相談に応じるとともに、</t>
    <phoneticPr fontId="39"/>
  </si>
  <si>
    <t>　　取り扱い説明書等の文書を示して福祉用具の機能、使用方法、利用料金等に関する情報を提供し、個別の福祉</t>
    <phoneticPr fontId="39"/>
  </si>
  <si>
    <t>　　用具の貸与に係る同意を得ます。</t>
    <phoneticPr fontId="39"/>
  </si>
  <si>
    <t>　３　利用者の心身の状況等に応じて福祉用具の調整を行うとともに、当該福祉用具の使用方法、使用上の留意事</t>
    <phoneticPr fontId="39"/>
  </si>
  <si>
    <t>　　項、故障時の対応等を記載した文書を利用者に交付し、十分な説明を行った上で、必要に応じて利用者に実際に</t>
    <phoneticPr fontId="39"/>
  </si>
  <si>
    <t>　　当該福祉用具を使用してもらいながら使用方法の指導を行います。</t>
    <phoneticPr fontId="39"/>
  </si>
  <si>
    <t>　４　貸与した福祉用具の使用状況の定期的な確認を行い、必要な場合は、使用方法の指導又は修理等を行いま</t>
    <phoneticPr fontId="39"/>
  </si>
  <si>
    <t>　　具計画・目標、当該目標を達成する為の具体的なサービスの内容を記載した福祉用具サービス計画を作成致しま</t>
    <phoneticPr fontId="39"/>
  </si>
  <si>
    <t>　　スの実施マニュアル等、サービスの質を利用者が評価するための情報については、いつでも閲覧できます。</t>
    <phoneticPr fontId="39"/>
  </si>
  <si>
    <t>　５　事業者は、利用者から料金の支払いを受けたときは、利用者に対し領収書を発行します。介護保険適用の場合、</t>
    <phoneticPr fontId="39"/>
  </si>
  <si>
    <t>　２　福祉用具サービス計画は、既に居宅サービス計画が作成されている場合はその計画内容に沿って作成致しま</t>
    <phoneticPr fontId="39"/>
  </si>
  <si>
    <t>　３　福祉用具専門相談員は、福祉用具サービス計画の作成にあたり、その内容について利用者又はその家族に対</t>
    <phoneticPr fontId="39"/>
  </si>
  <si>
    <t>　　して説明し、利用者様の同意を得てから計画をすすめてまいります。</t>
    <phoneticPr fontId="39"/>
  </si>
  <si>
    <t>　４　福祉用具専門相談員は、福祉用具サービス計画を作成した際には、当該福祉用具サービス計画を利用者様に</t>
    <phoneticPr fontId="39"/>
  </si>
  <si>
    <t>　　交付致します。</t>
    <phoneticPr fontId="39"/>
  </si>
  <si>
    <t>　　（３）尚、契約起算日が月の１５日以前の場合においては月額の全額を、１６日以降の場合においては１/２の料金</t>
    <phoneticPr fontId="39"/>
  </si>
  <si>
    <t>　２　貸与された福祉用具について、万一不良品などで使い勝手が悪く、他に変更したい場合は、すぐにお申し出くだ</t>
    <phoneticPr fontId="39"/>
  </si>
  <si>
    <t>　　されば、無料で変更します。</t>
    <phoneticPr fontId="39"/>
  </si>
  <si>
    <r>
      <t>　　②</t>
    </r>
    <r>
      <rPr>
        <sz val="7"/>
        <color theme="1"/>
        <rFont val="Times New Roman"/>
        <family val="1"/>
      </rPr>
      <t xml:space="preserve">    </t>
    </r>
    <r>
      <rPr>
        <sz val="10"/>
        <color theme="1"/>
        <rFont val="ＭＳ Ｐゴシック"/>
        <family val="3"/>
        <charset val="128"/>
      </rPr>
      <t>利用者の要介護（要支援）認定区分が、非該当（自立）と認定されたとき（この場合、内容を変更して再度契約</t>
    </r>
    <phoneticPr fontId="39"/>
  </si>
  <si>
    <t>　　　することができます）</t>
    <phoneticPr fontId="39"/>
  </si>
  <si>
    <t>　　（２）利用者負担金は契約開始月については使用月末締めの翌々月６日にご指定の金融機関の口座から引き落</t>
    <phoneticPr fontId="39"/>
  </si>
  <si>
    <t>　　　　　としをさせていただきます。（注）金融機関休業日の場合は翌営業日となります。</t>
    <phoneticPr fontId="39"/>
  </si>
  <si>
    <t>　１　利用者は、身体状況の急変等によって必要とする福祉用具に変更が生じた場合、事業者に対して当該福祉用</t>
    <phoneticPr fontId="39"/>
  </si>
  <si>
    <t>　　具の変更を求めることができます。ただし、製品によっては料金の変更が生じる場合がありますのでご了承下さい。</t>
    <phoneticPr fontId="39"/>
  </si>
  <si>
    <t>　１　事業者は、利用者に対して１ヵ月前までに文書で通知することにより、料金の変更（増額又は減額）を申し出る</t>
    <phoneticPr fontId="39"/>
  </si>
  <si>
    <t>　　ことができます。</t>
    <phoneticPr fontId="39"/>
  </si>
  <si>
    <t>　２　利用者が料金の変更を承諾する場合、新たな料金表に基づく【契約書別紙】を作成し、お互いに取り交わしま</t>
    <phoneticPr fontId="39"/>
  </si>
  <si>
    <t>　３　利用者は料金の変更を承諾しない場合、事業者に対し、文書で通知することにより、この契約を解除することが</t>
    <phoneticPr fontId="39"/>
  </si>
  <si>
    <t>　　できます。</t>
    <phoneticPr fontId="39"/>
  </si>
  <si>
    <t>　　１　事業者及び事業者の使用する者は､（介護予防）福祉用具貸与を提供する上で知り得た利用者及びその家族</t>
    <phoneticPr fontId="39"/>
  </si>
  <si>
    <t>　　　に関する秘密を正当な理由なく第三者に漏らしません｡この守秘義務は契約終了後についても同様です｡</t>
    <phoneticPr fontId="39"/>
  </si>
  <si>
    <t>　　２　事業者は､利用者からあらかじめ文書で同意を得ない限り、サービス担当者会議等において､利用者の個人情</t>
    <phoneticPr fontId="39"/>
  </si>
  <si>
    <t>　　３　利用者等は、事業者の承諾を得ることなく本契約に基づく権利の全部もしくは一部を第三者に譲渡し又は転貸</t>
    <phoneticPr fontId="39"/>
  </si>
  <si>
    <t>　　　することはできません。</t>
    <phoneticPr fontId="39"/>
  </si>
  <si>
    <r>
      <t>　①</t>
    </r>
    <r>
      <rPr>
        <sz val="7"/>
        <color theme="1"/>
        <rFont val="Times New Roman"/>
        <family val="1"/>
      </rPr>
      <t xml:space="preserve">    </t>
    </r>
    <r>
      <rPr>
        <sz val="10"/>
        <color theme="1"/>
        <rFont val="ＭＳ Ｐゴシック"/>
        <family val="3"/>
        <charset val="128"/>
      </rPr>
      <t>利用者が、その疾患・心身状態及び福祉用具の設置・使用環境等、レンタル商品の選定に必要な事項につい</t>
    </r>
    <phoneticPr fontId="39"/>
  </si>
  <si>
    <t>　　て故意にこれを告げず、又は不実の告知を行ったことに起因して損害が発生した場合。</t>
    <phoneticPr fontId="39"/>
  </si>
  <si>
    <r>
      <t>　②</t>
    </r>
    <r>
      <rPr>
        <sz val="7"/>
        <color theme="1"/>
        <rFont val="Times New Roman"/>
        <family val="1"/>
      </rPr>
      <t xml:space="preserve">    </t>
    </r>
    <r>
      <rPr>
        <sz val="10"/>
        <color theme="1"/>
        <rFont val="ＭＳ Ｐゴシック"/>
        <family val="3"/>
        <charset val="128"/>
      </rPr>
      <t>利用者の急激な体調の変化等、事業者の実施した（介護予防）福祉用具貸与サービスを原因としない事由に</t>
    </r>
    <phoneticPr fontId="39"/>
  </si>
  <si>
    <t>　　起因して損害が発生した場合。</t>
    <phoneticPr fontId="39"/>
  </si>
  <si>
    <r>
      <t>　③</t>
    </r>
    <r>
      <rPr>
        <sz val="7"/>
        <color theme="1"/>
        <rFont val="Times New Roman"/>
        <family val="1"/>
      </rPr>
      <t xml:space="preserve">    </t>
    </r>
    <r>
      <rPr>
        <sz val="10"/>
        <color theme="1"/>
        <rFont val="ＭＳ Ｐゴシック"/>
        <family val="3"/>
        <charset val="128"/>
      </rPr>
      <t>利用者又はその家族が、事業者及びサービス従事者の指示・説明に反して行った行為に起因して損害が発</t>
    </r>
    <phoneticPr fontId="39"/>
  </si>
  <si>
    <t>　　生した場合。</t>
    <phoneticPr fontId="39"/>
  </si>
  <si>
    <t>　事業者は、利用者の故意又は重大な過失によってレンタル商品が消失し、又は回収したレンタル商品について通</t>
    <phoneticPr fontId="39"/>
  </si>
  <si>
    <t>額の支払を請求することができます。</t>
    <phoneticPr fontId="39"/>
  </si>
  <si>
    <t>　サービス従業者は、常に身分証を携帯し、初回納品時及び利用者やその家族から提示を求められたときは、いつ</t>
    <phoneticPr fontId="39"/>
  </si>
  <si>
    <t>でも身分証を提示します。</t>
    <phoneticPr fontId="39"/>
  </si>
  <si>
    <t>　１　事業者は、福祉用具貸与の提供にあたり、介護支援専門員及び保健医療サービス又は福祉サービスを提供</t>
    <phoneticPr fontId="39"/>
  </si>
  <si>
    <t>　　する者との密接な関係に努めます。</t>
    <phoneticPr fontId="39"/>
  </si>
  <si>
    <t>　２　事業者は、本契約の内容が変更された場合又は本契約が終了した場合は、その内容を記した書面の写しを</t>
    <phoneticPr fontId="39"/>
  </si>
  <si>
    <t>　　速やかに介護支援専門員に送付します。なお、第１０条２項及び４項に基づいて解約通知をする際は、事前に介</t>
    <phoneticPr fontId="39"/>
  </si>
  <si>
    <t>　　護支援専門員に連絡します。</t>
    <phoneticPr fontId="39"/>
  </si>
  <si>
    <t>　１　事業者は、利用者からの相談･苦情に対する窓口を設置し、当該福祉用具の故障・修理依頼など、（介護予防）</t>
    <phoneticPr fontId="39"/>
  </si>
  <si>
    <t>　　福祉用具貸与に関する利用者の要望、苦情等に対し、迅速に対応します。</t>
    <phoneticPr fontId="39"/>
  </si>
  <si>
    <t>　２　苦情の内容によっては、再発防止のために関係メーカー及び提携先との連携･調整を行います。また、必要に</t>
    <phoneticPr fontId="39"/>
  </si>
  <si>
    <t>　　応じて「苦情処理改善会議」を開催します。</t>
    <phoneticPr fontId="39"/>
  </si>
  <si>
    <t>　２　本契約に定める事項に疑義が生じた場合及び本契約に定めのない事項については、介護保険法令その他諸法</t>
    <phoneticPr fontId="39"/>
  </si>
  <si>
    <t>　　令の定めるところを尊重し、双方の協議の上定めるものとします。</t>
    <phoneticPr fontId="39"/>
  </si>
  <si>
    <t>　当事業所はご利用者様の身体的状況やご家族の状況をケアプラン上必要な情報に限り、ご利用者様担当ケアマ</t>
    <phoneticPr fontId="39"/>
  </si>
  <si>
    <t>ネージャーに報告致します。当事業所内においてのお客様に関するサービス内容の検討や、向上の為のケース会</t>
    <phoneticPr fontId="39"/>
  </si>
  <si>
    <t>議、ケアマネージャー様等関係従事者様とのサービス担当者会議以外に個人情報を用いない事を厳守いたします。</t>
    <phoneticPr fontId="39"/>
  </si>
  <si>
    <t>　　約を解約することができます｡</t>
    <phoneticPr fontId="39"/>
  </si>
  <si>
    <t>　２　事業者は､やむをえない事情がある場合､利用者に対して､１ヵ月間の予告期間をおいて理由を示した文書で通</t>
    <phoneticPr fontId="39"/>
  </si>
  <si>
    <t>　　知することにより､この契約を解約することができます｡</t>
    <phoneticPr fontId="39"/>
  </si>
  <si>
    <r>
      <t>　　①</t>
    </r>
    <r>
      <rPr>
        <sz val="7"/>
        <color theme="1"/>
        <rFont val="Times New Roman"/>
        <family val="1"/>
      </rPr>
      <t xml:space="preserve">    </t>
    </r>
    <r>
      <rPr>
        <sz val="10"/>
        <color theme="1"/>
        <rFont val="ＭＳ Ｐゴシック"/>
        <family val="3"/>
        <charset val="128"/>
      </rPr>
      <t>利用者のサービス料金の支払いが１ヵ月以上遅延し､料金を支払うよう催促したにもかかわらず､３０日以内</t>
    </r>
    <phoneticPr fontId="39"/>
  </si>
  <si>
    <t>　　　に支払われない場合</t>
    <phoneticPr fontId="39"/>
  </si>
  <si>
    <r>
      <t>　　②</t>
    </r>
    <r>
      <rPr>
        <sz val="7"/>
        <color theme="1"/>
        <rFont val="Times New Roman"/>
        <family val="1"/>
      </rPr>
      <t xml:space="preserve">    </t>
    </r>
    <r>
      <rPr>
        <sz val="10"/>
        <color theme="1"/>
        <rFont val="ＭＳ Ｐゴシック"/>
        <family val="3"/>
        <charset val="128"/>
      </rPr>
      <t>利用者又はその家族などが､事業者やサービス提供者に対して本契約を継続しがたいほどの背信行為を行</t>
    </r>
    <phoneticPr fontId="39"/>
  </si>
  <si>
    <t>　　　った場合</t>
    <phoneticPr fontId="39"/>
  </si>
  <si>
    <t>　　３　事業者は､利用者の家族からあらかじめ文書で同意を得ない限り、サービス担当者会議等において、当該家</t>
    <phoneticPr fontId="39"/>
  </si>
  <si>
    <t>　　　族の個人情報を用いません｡</t>
    <phoneticPr fontId="39"/>
  </si>
  <si>
    <t>　　１　利用者及びその家族等は、レンタル商品について定められた使用方法及び使用上の注意事項を遵守する事</t>
    <phoneticPr fontId="39"/>
  </si>
  <si>
    <t>　　　とします。</t>
    <phoneticPr fontId="39"/>
  </si>
  <si>
    <t>　　２　利用者等は、事業者の承諾を得ることなくレンタル商品の仕様変更、加工・改造等を行うことはできません。</t>
    <phoneticPr fontId="39"/>
  </si>
  <si>
    <t>※上記の（介護予防）福祉用具貸与品以外に、腰掛便座、入浴補助用具、等が介護保険制度により購入でき</t>
    <phoneticPr fontId="39"/>
  </si>
  <si>
    <t>ます。</t>
    <phoneticPr fontId="39"/>
  </si>
  <si>
    <t>　　　　まずは、電話等でご連絡ください。当社の専門相談員がご自宅に訪問させていただきます。重要事項を説明し</t>
    <phoneticPr fontId="39"/>
  </si>
  <si>
    <t>　　　た後、正式に契約を結び、サービスの提供を開始します（居宅介護支援事業者に、居宅サービス計画の作成を</t>
    <phoneticPr fontId="39"/>
  </si>
  <si>
    <t>　　　依頼している場合は、事前に当該介護支援専門員とご相談下さい）。</t>
    <phoneticPr fontId="39"/>
  </si>
  <si>
    <t>　　　　ます。この場合、お客様が居宅介護支援事業者に居宅サービス計画の作成を依頼している場合は、当該事</t>
    <phoneticPr fontId="39"/>
  </si>
  <si>
    <t>　　　　業者にも通知してください。</t>
    <phoneticPr fontId="39"/>
  </si>
  <si>
    <t>　　　　　　度契約することができます）</t>
    <phoneticPr fontId="39"/>
  </si>
  <si>
    <t>　　　　　　どに対して社会通念を逸脱する行為を行った場合などは、文書で解約を通知することによって即座にサービ</t>
    <phoneticPr fontId="39"/>
  </si>
  <si>
    <t>　　　　　　スを終了することができます。</t>
    <phoneticPr fontId="39"/>
  </si>
  <si>
    <t xml:space="preserve">           ・　お客様が、サービス利用料金の支払いを１ヶ月以上遅延し、料金を支払うよう催告したにもかかわらず、</t>
    <phoneticPr fontId="39"/>
  </si>
  <si>
    <t>　　　　　　３０日以内に支払わない場合、またはお客様やご家族などが当社のサービス従業者に対して本契約を</t>
    <phoneticPr fontId="39"/>
  </si>
  <si>
    <t>　　　　　　継続しがたいほどの背信行為を行った場合は、文書で通知することにより、直ちにサービスの提供を終</t>
    <phoneticPr fontId="39"/>
  </si>
  <si>
    <t>　　　　　　了させていただく場合があります。</t>
    <phoneticPr fontId="39"/>
  </si>
  <si>
    <t>　　　・　利用者が、可能な限り居宅において、その有する能力に応じて、自立した日常生活を営めるように、利用者の</t>
    <phoneticPr fontId="39"/>
  </si>
  <si>
    <t>　　　 心身の状況、希望及びその置かれている環境を踏まえた適切な福祉用具選定の援助を行います。</t>
    <phoneticPr fontId="39"/>
  </si>
  <si>
    <t>　　　・　利用者の要介護状態の軽減もしくは悪化防止又は要介護状態となることの予防に資するよう、適切な福祉用</t>
    <phoneticPr fontId="39"/>
  </si>
  <si>
    <t xml:space="preserve">        具貸与の提供を行います。</t>
    <phoneticPr fontId="39"/>
  </si>
  <si>
    <t>　　　・　福祉用具貸与の提供にあたっては、貸与する福祉用具の機能、安全性、衛生状態等に関し、十分な説明を</t>
    <phoneticPr fontId="39"/>
  </si>
  <si>
    <t xml:space="preserve">        行った上で、必要に応じて利用者に実際に福祉用具を使用してもらいながら使用方法の指導を行います。</t>
    <phoneticPr fontId="39"/>
  </si>
  <si>
    <t>　　　・　サービス従業者は、業務上知り得た利用者又はその家族の秘密を保持します。又、従業者であったものに、</t>
    <phoneticPr fontId="39"/>
  </si>
  <si>
    <t>　　　・　利用者の身体状態の多様性、変化等に対応することができるように、できる限り多くの種類の福祉用具を取り</t>
    <phoneticPr fontId="39"/>
  </si>
  <si>
    <t>　　　 扱うように努めます。</t>
    <phoneticPr fontId="39"/>
  </si>
  <si>
    <t>　　当社福祉用具貸与事業に関する相談、要望、苦情等は、担当の専門相談員又はお客様サービス係 までご連絡</t>
    <phoneticPr fontId="39"/>
  </si>
  <si>
    <t>　　下さい。　</t>
    <phoneticPr fontId="39"/>
  </si>
  <si>
    <t>れている環境を踏まえて、居宅介護支援事業者の作成する「居宅サービス計画」に沿って、福祉用具が適切に選定さ</t>
    <phoneticPr fontId="39"/>
  </si>
  <si>
    <t>れ、かつ使用されるよう、専門的知識に基づき、利用者からの相談に応じます。</t>
    <phoneticPr fontId="39"/>
  </si>
  <si>
    <t>　１　利用者は事業者に対して、１週間の予告期間を置いて文書又は口頭で通知することにより､この契約を解約する</t>
    <phoneticPr fontId="39"/>
  </si>
  <si>
    <t>　　ことができます｡但し､利用者の病変、急な入院などやむをえない事情がある場合は､１週間以内の通知でもこの契</t>
    <phoneticPr fontId="39"/>
  </si>
  <si>
    <t>③　3/6（引落し日・土日際日の場合は翌営業日）お申し込み頂いた口座より、請求明細</t>
    <phoneticPr fontId="39"/>
  </si>
  <si>
    <t>　当社請求基準により、利用金額月額600円からの適用となりますが、600円未満ご利用</t>
    <phoneticPr fontId="39"/>
  </si>
  <si>
    <t>金額の方については、基準金額600円に満たすまでご請求を差し上げずに、600円満了月</t>
    <phoneticPr fontId="39"/>
  </si>
  <si>
    <t>最短の引き落とし日に一括請求させていただきますのでご了承ください。尚、途中レン</t>
    <phoneticPr fontId="39"/>
  </si>
  <si>
    <t>タル品の一式解約が生じた場合においては、商品引き上げ時に現金精算とさせていただ</t>
    <phoneticPr fontId="39"/>
  </si>
  <si>
    <t>きます。</t>
    <phoneticPr fontId="39"/>
  </si>
  <si>
    <t>①　1月ご利用分締め日</t>
    <phoneticPr fontId="39"/>
  </si>
  <si>
    <t xml:space="preserve">                 ・1ヶ月分ご利用　1/1～1/31</t>
    <phoneticPr fontId="39"/>
  </si>
  <si>
    <t xml:space="preserve">                 ・半月ご利用1/1～1/15、1/16～1/31のどちらかの締め日とします。</t>
    <phoneticPr fontId="39"/>
  </si>
  <si>
    <t>＜受付時間＞　月曜日から金曜日の午前９時～午後６時</t>
    <phoneticPr fontId="39"/>
  </si>
  <si>
    <t>　事業者は、利用者に対し、介護保険認定利用者に対して介護保険法令の趣旨に従って、利用者が可能な限りその</t>
    <phoneticPr fontId="39"/>
  </si>
  <si>
    <t>居宅において、その有する能力に応じて自立した日常生活を営むことが出来るよう、（介護予防）福祉用具貸与を提</t>
    <rPh sb="51" eb="52">
      <t>ツツミ</t>
    </rPh>
    <phoneticPr fontId="39"/>
  </si>
  <si>
    <t>供し、利用者は、事業者に対してそのサービスに対する料金を支払います。</t>
    <phoneticPr fontId="39"/>
  </si>
  <si>
    <t>　事業者は、一定の研修を修了した専門相談員を配置し、専門相談員は、利用者の心身の状況、要望及びその置か</t>
    <rPh sb="43" eb="45">
      <t>ヨウボウ</t>
    </rPh>
    <phoneticPr fontId="39"/>
  </si>
  <si>
    <t>　１　福祉用具専門相談員は、利用者の心身の状況、要望及びその置かれている環境を踏まえ、（介護予防）福祉用</t>
    <rPh sb="24" eb="26">
      <t>ヨウボウ</t>
    </rPh>
    <phoneticPr fontId="39"/>
  </si>
  <si>
    <t>　１　事業者は、サービス提供記録を作成することとし、この契約の終了後２年間保存します。</t>
    <rPh sb="17" eb="19">
      <t>サクセイ</t>
    </rPh>
    <phoneticPr fontId="39"/>
  </si>
  <si>
    <t>　２　利用者は、事業所の営業時間内にその事業所にて、当該利用者に関する第１項のサービス提供記録やサービ</t>
    <rPh sb="43" eb="45">
      <t>テイキョウ</t>
    </rPh>
    <phoneticPr fontId="39"/>
  </si>
  <si>
    <t>　　し、介護保険適用外のサービス利用については、全額が利用者の負担となります</t>
    <phoneticPr fontId="39"/>
  </si>
  <si>
    <t>　福祉用具の保管･消毒については、指定居宅サービス等の事業の人員、設置及び運営に関する基準第２０３条</t>
    <rPh sb="17" eb="19">
      <t>シテイ</t>
    </rPh>
    <rPh sb="19" eb="21">
      <t>キョタク</t>
    </rPh>
    <rPh sb="25" eb="26">
      <t>トウ</t>
    </rPh>
    <rPh sb="27" eb="29">
      <t>ジギョウ</t>
    </rPh>
    <rPh sb="30" eb="32">
      <t>ジンイン</t>
    </rPh>
    <rPh sb="33" eb="35">
      <t>セッチ</t>
    </rPh>
    <rPh sb="35" eb="36">
      <t>オヨ</t>
    </rPh>
    <rPh sb="37" eb="39">
      <t>ウンエイ</t>
    </rPh>
    <rPh sb="40" eb="41">
      <t>カン</t>
    </rPh>
    <rPh sb="43" eb="45">
      <t>キジュン</t>
    </rPh>
    <phoneticPr fontId="39"/>
  </si>
  <si>
    <t>　事業者は､福祉用具貸与サービスの提供に伴い、賠償責任を負う場合に備えて損害保険に加入し、納品時に家</t>
    <phoneticPr fontId="39"/>
  </si>
  <si>
    <t>具に損傷を与えるなど、事業者の責めに帰すべき事由により利用者の生命・身体・財産に損害を及ぼした場合は､</t>
    <phoneticPr fontId="39"/>
  </si>
  <si>
    <t>利用者に対してその損害を賠償します｡ただし、事業者は自己の責に帰すべからざる事由によって生じた損害につ</t>
    <phoneticPr fontId="39"/>
  </si>
  <si>
    <t>いては賠償責任を負いません。とりわけ、以下の事由に該当する場合には、損害賠償責任を免れます。</t>
    <phoneticPr fontId="39"/>
  </si>
  <si>
    <t>常の使用状態を超える著しい破損・汚損等が認められる場合には、利用者等に対して補修費もしくは弁償費相当</t>
    <rPh sb="10" eb="11">
      <t>イチジル</t>
    </rPh>
    <phoneticPr fontId="39"/>
  </si>
  <si>
    <t>　１　利用者及び事業者は、信義に従い誠実に本契約を履行するものとする。</t>
    <rPh sb="16" eb="17">
      <t>シタガ</t>
    </rPh>
    <phoneticPr fontId="39"/>
  </si>
  <si>
    <t>　４　利用者は、事業者が発行した請求書に記載されている口座引き落とし日の前日までに、事前にご記入いただい</t>
    <rPh sb="8" eb="11">
      <t>ジギョウシャ</t>
    </rPh>
    <phoneticPr fontId="39"/>
  </si>
  <si>
    <t>　　た預金口座振替依頼書の指定金融機関の口座に、請求された金額をご入金ください。</t>
    <rPh sb="20" eb="22">
      <t>コウザ</t>
    </rPh>
    <rPh sb="33" eb="35">
      <t>ニュウキン</t>
    </rPh>
    <phoneticPr fontId="39"/>
  </si>
  <si>
    <t>●不具合・操作性確認</t>
    <phoneticPr fontId="39"/>
  </si>
  <si>
    <r>
      <t>　</t>
    </r>
    <r>
      <rPr>
        <b/>
        <u/>
        <sz val="12"/>
        <color theme="1"/>
        <rFont val="ＭＳ ゴシック"/>
        <family val="3"/>
        <charset val="128"/>
      </rPr>
      <t>表札が異なる場合は、ご明記くださいませ。</t>
    </r>
    <phoneticPr fontId="39"/>
  </si>
  <si>
    <t>　　書内容の金額を自動引落しいたします。</t>
    <phoneticPr fontId="39"/>
  </si>
  <si>
    <r>
      <t>④</t>
    </r>
    <r>
      <rPr>
        <sz val="7"/>
        <color theme="1"/>
        <rFont val="Times New Roman"/>
        <family val="1"/>
      </rPr>
      <t> </t>
    </r>
    <r>
      <rPr>
        <sz val="7"/>
        <color theme="1"/>
        <rFont val="ＭＳ ゴシック"/>
        <family val="3"/>
        <charset val="128"/>
      </rPr>
      <t>　</t>
    </r>
    <r>
      <rPr>
        <sz val="7"/>
        <color theme="1"/>
        <rFont val="Times New Roman"/>
        <family val="1"/>
      </rPr>
      <t xml:space="preserve"> </t>
    </r>
    <r>
      <rPr>
        <sz val="12"/>
        <color theme="1"/>
        <rFont val="ＭＳ ゴシック"/>
        <family val="3"/>
        <charset val="128"/>
      </rPr>
      <t>3/26前後の2月分引落し事前請求書郵送時に、3/6引落し分（1月分）の領収書を同封い</t>
    </r>
    <phoneticPr fontId="39"/>
  </si>
  <si>
    <t>　　たします。</t>
    <phoneticPr fontId="39"/>
  </si>
  <si>
    <t>　２　利用者が避難所に避難された場合には、サービス提供の場所が変わることになりますので、道路状況・人員体</t>
    <phoneticPr fontId="39"/>
  </si>
  <si>
    <t>　　制・避難所の環境等を考慮した上で、サービスの提供が可能と事業者が判断した場合にのみサービスを提供す</t>
    <phoneticPr fontId="39"/>
  </si>
  <si>
    <t>　　るものとします。</t>
    <phoneticPr fontId="39"/>
  </si>
  <si>
    <t>第１６条（利用者の損害賠償責任）</t>
    <phoneticPr fontId="39"/>
  </si>
  <si>
    <t>第１７条（身分証携帯義務）</t>
    <phoneticPr fontId="39"/>
  </si>
  <si>
    <t>第１８条（連携）</t>
    <phoneticPr fontId="39"/>
  </si>
  <si>
    <t>第１９条（苦情処理）</t>
    <phoneticPr fontId="39"/>
  </si>
  <si>
    <t>第２０条（信義誠実の原則）</t>
    <phoneticPr fontId="39"/>
  </si>
  <si>
    <t>　　　・　利用者が避難所に避難された場合には、サービス提供の場所が変わることになりますので、道路状況・人員</t>
    <phoneticPr fontId="39"/>
  </si>
  <si>
    <t xml:space="preserve">        体制・避難所の環境等を考慮した上で、サービスの提供が可能と事業者が判断した場合にのみサービスを提</t>
    <phoneticPr fontId="39"/>
  </si>
  <si>
    <t xml:space="preserve">        供するものとします。</t>
    <phoneticPr fontId="39"/>
  </si>
  <si>
    <t>第３項の規定に基づき、株式会社インフォゲート、フランスベッド株式会社、野口株式会社にこの業務を委託し、業務</t>
    <rPh sb="0" eb="1">
      <t>ダイ</t>
    </rPh>
    <phoneticPr fontId="39"/>
  </si>
  <si>
    <t>委託契約書を取り交わした上で、事業所は委託の契約の内容において、保管及び消毒が適切な方法により行われ</t>
    <phoneticPr fontId="39"/>
  </si>
  <si>
    <t>ていることを担保します。</t>
    <phoneticPr fontId="39"/>
  </si>
  <si>
    <t>株式会社 サービスワン</t>
    <phoneticPr fontId="39"/>
  </si>
  <si>
    <t>千葉ムツミ福祉用具高品</t>
    <rPh sb="0" eb="2">
      <t>チバ</t>
    </rPh>
    <rPh sb="5" eb="7">
      <t>フクシ</t>
    </rPh>
    <rPh sb="7" eb="9">
      <t>ヨウグ</t>
    </rPh>
    <rPh sb="9" eb="11">
      <t>タカシナ</t>
    </rPh>
    <phoneticPr fontId="39"/>
  </si>
  <si>
    <t>・（予防）福祉用具貸与事業　(千葉市 1270402124号)</t>
    <rPh sb="17" eb="18">
      <t>シ</t>
    </rPh>
    <phoneticPr fontId="39"/>
  </si>
  <si>
    <t>千葉市 市原市　四街道市　習志野市　木更津市　佐倉市</t>
    <rPh sb="8" eb="12">
      <t>ヨツカイドウシ</t>
    </rPh>
    <rPh sb="13" eb="17">
      <t>ナラシノシ</t>
    </rPh>
    <rPh sb="18" eb="22">
      <t>キサラヅシ</t>
    </rPh>
    <rPh sb="23" eb="26">
      <t>サクラシ</t>
    </rPh>
    <phoneticPr fontId="39"/>
  </si>
  <si>
    <t>１名</t>
    <phoneticPr fontId="39"/>
  </si>
  <si>
    <t>０名</t>
    <phoneticPr fontId="39"/>
  </si>
  <si>
    <t>３名</t>
    <phoneticPr fontId="39"/>
  </si>
  <si>
    <t>＜担　　　　当＞　　本  社　　　　 　お客様サービス係　　　＜電話＞　0436-60-3235</t>
    <phoneticPr fontId="39"/>
  </si>
  <si>
    <t>介護保険事業課</t>
    <rPh sb="0" eb="2">
      <t>カイゴ</t>
    </rPh>
    <rPh sb="2" eb="4">
      <t>ホケン</t>
    </rPh>
    <rPh sb="4" eb="6">
      <t>ジギョウ</t>
    </rPh>
    <rPh sb="6" eb="7">
      <t>カ</t>
    </rPh>
    <phoneticPr fontId="39"/>
  </si>
  <si>
    <t>四街道市</t>
    <rPh sb="0" eb="4">
      <t>ヨツカイドウシ</t>
    </rPh>
    <phoneticPr fontId="39"/>
  </si>
  <si>
    <t>福祉サービス部　高齢者支援課</t>
    <rPh sb="0" eb="2">
      <t>フクシ</t>
    </rPh>
    <rPh sb="6" eb="7">
      <t>ブ</t>
    </rPh>
    <rPh sb="8" eb="11">
      <t>コウレイシャ</t>
    </rPh>
    <rPh sb="11" eb="13">
      <t>シエン</t>
    </rPh>
    <rPh sb="13" eb="14">
      <t>カ</t>
    </rPh>
    <phoneticPr fontId="39"/>
  </si>
  <si>
    <t>習志野市</t>
    <rPh sb="0" eb="4">
      <t>ナラシノシ</t>
    </rPh>
    <phoneticPr fontId="39"/>
  </si>
  <si>
    <t>保健福祉部　高齢者支援課　</t>
    <phoneticPr fontId="39"/>
  </si>
  <si>
    <t>福祉部　高齢者支援課　高齢者支援担当</t>
    <rPh sb="11" eb="14">
      <t>コウレイシャ</t>
    </rPh>
    <rPh sb="14" eb="16">
      <t>シエン</t>
    </rPh>
    <rPh sb="16" eb="18">
      <t>タントウ</t>
    </rPh>
    <phoneticPr fontId="39"/>
  </si>
  <si>
    <t>佐倉市</t>
    <rPh sb="0" eb="3">
      <t>サクラシ</t>
    </rPh>
    <phoneticPr fontId="39"/>
  </si>
  <si>
    <t>福祉部　高齢者支援課</t>
    <phoneticPr fontId="39"/>
  </si>
  <si>
    <t>０４３－２４５－５０６２</t>
    <phoneticPr fontId="39"/>
  </si>
  <si>
    <t>０４３－４２１－６１２７</t>
    <phoneticPr fontId="39"/>
  </si>
  <si>
    <t>０４７－４５４－７５３３</t>
    <phoneticPr fontId="39"/>
  </si>
  <si>
    <t>０４３８－２３－２６３０</t>
    <phoneticPr fontId="39"/>
  </si>
  <si>
    <t>０４３－４８４－６２４３</t>
    <phoneticPr fontId="39"/>
  </si>
  <si>
    <t>　　　　　　＜事業所名＞株式会社サービスワン　千葉ムツミ福祉用具高品</t>
    <rPh sb="23" eb="25">
      <t>チバ</t>
    </rPh>
    <rPh sb="28" eb="30">
      <t>フクシ</t>
    </rPh>
    <rPh sb="30" eb="32">
      <t>ヨウグ</t>
    </rPh>
    <rPh sb="32" eb="34">
      <t>タカシナ</t>
    </rPh>
    <phoneticPr fontId="39"/>
  </si>
  <si>
    <t>第１５条（災害等発生時のサービス提供）</t>
    <rPh sb="5" eb="7">
      <t>サイガイ</t>
    </rPh>
    <rPh sb="7" eb="8">
      <t>トウ</t>
    </rPh>
    <rPh sb="8" eb="10">
      <t>ハッセイ</t>
    </rPh>
    <rPh sb="10" eb="11">
      <t>ジ</t>
    </rPh>
    <rPh sb="16" eb="18">
      <t>テイキョウ</t>
    </rPh>
    <phoneticPr fontId="39"/>
  </si>
  <si>
    <t>　　　・　災害発生時や感染症流行時などの非常時においては、事業者は従業員の安全を確保した上でサービスを提</t>
    <rPh sb="7" eb="9">
      <t>ハッセイ</t>
    </rPh>
    <rPh sb="9" eb="10">
      <t>ジ</t>
    </rPh>
    <rPh sb="11" eb="14">
      <t>カンセンショウ</t>
    </rPh>
    <rPh sb="14" eb="16">
      <t>リュウコウ</t>
    </rPh>
    <rPh sb="16" eb="17">
      <t>ジ</t>
    </rPh>
    <rPh sb="20" eb="22">
      <t>ヒジョウ</t>
    </rPh>
    <phoneticPr fontId="39"/>
  </si>
  <si>
    <t xml:space="preserve"> 　　　供するため、事前に合意した日時・内容通りのサービスが提供できない可能性があります。</t>
    <phoneticPr fontId="39"/>
  </si>
  <si>
    <t>　１　災害発生時や感染症流行時などの非常時においては、事業者は従業員の安全を確保した上でサービスを提供</t>
    <rPh sb="5" eb="7">
      <t>ハッセイ</t>
    </rPh>
    <rPh sb="7" eb="8">
      <t>ジ</t>
    </rPh>
    <rPh sb="9" eb="12">
      <t>カンセンショウ</t>
    </rPh>
    <rPh sb="12" eb="14">
      <t>リュウコウ</t>
    </rPh>
    <rPh sb="14" eb="15">
      <t>ジ</t>
    </rPh>
    <rPh sb="18" eb="20">
      <t>ヒジョウ</t>
    </rPh>
    <phoneticPr fontId="39"/>
  </si>
  <si>
    <t>　　するため、事前に合意した日時・内容通りのサービスが提供できない可能性があります。</t>
    <phoneticPr fontId="39"/>
  </si>
  <si>
    <t>　　　　　サービスの終了を希望する日の1週間前までに文書で通知することにより、サービスを終了することができ</t>
    <phoneticPr fontId="39"/>
  </si>
  <si>
    <t>（介護予防）福祉用具貸与料金一覧表</t>
    <phoneticPr fontId="39"/>
  </si>
  <si>
    <r>
      <t>　１　利用者は、サービスの対価として、</t>
    </r>
    <r>
      <rPr>
        <sz val="10"/>
        <color rgb="FFFF0000"/>
        <rFont val="ＭＳ Ｐゴシック"/>
        <family val="3"/>
        <charset val="128"/>
      </rPr>
      <t>下記の（介護予防）福祉用具貸与料</t>
    </r>
    <r>
      <rPr>
        <sz val="10"/>
        <color theme="1"/>
        <rFont val="ＭＳ Ｐゴシック"/>
        <family val="3"/>
        <charset val="128"/>
      </rPr>
      <t>金一覧表をもとに、</t>
    </r>
    <r>
      <rPr>
        <sz val="10"/>
        <color rgb="FFFF0000"/>
        <rFont val="ＭＳ Ｐゴシック"/>
        <family val="3"/>
        <charset val="128"/>
      </rPr>
      <t>月額料金の1割・2割・</t>
    </r>
    <rPh sb="19" eb="21">
      <t>カキ</t>
    </rPh>
    <rPh sb="44" eb="46">
      <t>ゲツガク</t>
    </rPh>
    <rPh sb="46" eb="48">
      <t>リョウキン</t>
    </rPh>
    <phoneticPr fontId="39"/>
  </si>
  <si>
    <r>
      <t>　</t>
    </r>
    <r>
      <rPr>
        <sz val="10"/>
        <color rgb="FFFF0000"/>
        <rFont val="ＭＳ Ｐゴシック"/>
        <family val="3"/>
        <charset val="128"/>
      </rPr>
      <t>本契約書</t>
    </r>
    <r>
      <rPr>
        <sz val="10"/>
        <color theme="1"/>
        <rFont val="ＭＳ Ｐゴシック"/>
        <family val="3"/>
        <charset val="128"/>
      </rPr>
      <t>の契約内容を証するため、本書２通を作成し、利用者、事業者が署名押印の上、各自１通保有するもの</t>
    </r>
    <rPh sb="2" eb="4">
      <t>ケイヤク</t>
    </rPh>
    <phoneticPr fontId="39"/>
  </si>
  <si>
    <t>とします。同様に、介護保険制度にて義務づけられているサービス担当者会議の開催が必要と認められる場合にお</t>
  </si>
  <si>
    <t>いて、利用者様の個人情報を用いることについての説明を受け、同意するものといたします。</t>
  </si>
  <si>
    <r>
      <t>　　（１）介護保険の適用がある場合は、料金表のサービス費の1割・2割・3割のいずれかが利用者負担</t>
    </r>
    <r>
      <rPr>
        <sz val="10"/>
        <color rgb="FFFF0000"/>
        <rFont val="ＭＳ Ｐゴシック"/>
        <family val="3"/>
        <charset val="128"/>
      </rPr>
      <t>額</t>
    </r>
    <r>
      <rPr>
        <sz val="10"/>
        <color theme="1"/>
        <rFont val="ＭＳ Ｐゴシック"/>
        <family val="3"/>
        <charset val="128"/>
      </rPr>
      <t>となります。</t>
    </r>
    <rPh sb="48" eb="49">
      <t>ガク</t>
    </rPh>
    <phoneticPr fontId="39"/>
  </si>
  <si>
    <r>
      <t>　　利用者の負担</t>
    </r>
    <r>
      <rPr>
        <sz val="10"/>
        <color rgb="FFFF0000"/>
        <rFont val="ＭＳ Ｐゴシック"/>
        <family val="3"/>
        <charset val="128"/>
      </rPr>
      <t>額</t>
    </r>
    <r>
      <rPr>
        <sz val="10"/>
        <color theme="1"/>
        <rFont val="ＭＳ Ｐゴシック"/>
        <family val="3"/>
        <charset val="128"/>
      </rPr>
      <t>は原則として</t>
    </r>
    <r>
      <rPr>
        <sz val="10"/>
        <color rgb="FFFF0000"/>
        <rFont val="ＭＳ Ｐゴシック"/>
        <family val="3"/>
        <charset val="128"/>
      </rPr>
      <t>下記</t>
    </r>
    <r>
      <rPr>
        <sz val="10"/>
        <color theme="1"/>
        <rFont val="ＭＳ Ｐゴシック"/>
        <family val="3"/>
        <charset val="128"/>
      </rPr>
      <t>の（介護予防）福祉用具貸与料金一覧表の1割・2割・3割のいずれかです。ただ</t>
    </r>
    <rPh sb="8" eb="9">
      <t>ガク</t>
    </rPh>
    <rPh sb="15" eb="17">
      <t>カキ</t>
    </rPh>
    <phoneticPr fontId="39"/>
  </si>
  <si>
    <r>
      <rPr>
        <sz val="10"/>
        <color rgb="FFFF0000"/>
        <rFont val="ＭＳ Ｐゴシック"/>
        <family val="3"/>
        <charset val="128"/>
      </rPr>
      <t>　　3割いずれかの合計額を利用者の負担として</t>
    </r>
    <r>
      <rPr>
        <sz val="10"/>
        <color theme="1"/>
        <rFont val="ＭＳ Ｐゴシック"/>
        <family val="3"/>
        <charset val="128"/>
      </rPr>
      <t>支払います。</t>
    </r>
    <phoneticPr fontId="39"/>
  </si>
  <si>
    <t>2020.07.27</t>
    <phoneticPr fontId="39"/>
  </si>
  <si>
    <t>　３　事業者は当月の利用内容明細を請求書として、使用月の翌月末日までに利用者に交付します。</t>
    <rPh sb="24" eb="26">
      <t>シヨウ</t>
    </rPh>
    <rPh sb="26" eb="27">
      <t>ヅキ</t>
    </rPh>
    <phoneticPr fontId="39"/>
  </si>
  <si>
    <t>　　　　＜事業所名＞　株式会社サービスワン　千葉ムツミ福祉用具高品</t>
    <rPh sb="22" eb="24">
      <t>チバ</t>
    </rPh>
    <rPh sb="27" eb="29">
      <t>フクシ</t>
    </rPh>
    <rPh sb="29" eb="31">
      <t>ヨウグ</t>
    </rPh>
    <rPh sb="31" eb="33">
      <t>タカシナ</t>
    </rPh>
    <phoneticPr fontId="39"/>
  </si>
  <si>
    <t>　　　　＜住 　　所＞  千葉県千葉市若葉区高品町1591-5　三恭ビル0001号室</t>
    <rPh sb="16" eb="19">
      <t>チバシ</t>
    </rPh>
    <rPh sb="19" eb="22">
      <t>ワカバク</t>
    </rPh>
    <rPh sb="22" eb="25">
      <t>タカシナチョウ</t>
    </rPh>
    <rPh sb="32" eb="33">
      <t>ミ</t>
    </rPh>
    <rPh sb="33" eb="34">
      <t>ヤスシ</t>
    </rPh>
    <rPh sb="40" eb="41">
      <t>ゴウ</t>
    </rPh>
    <rPh sb="41" eb="42">
      <t>シツ</t>
    </rPh>
    <phoneticPr fontId="39"/>
  </si>
  <si>
    <t>千葉県千葉市若葉区高品町1591-5　三恭ビル0001号室</t>
    <rPh sb="3" eb="6">
      <t>チバシ</t>
    </rPh>
    <rPh sb="6" eb="9">
      <t>ワカバク</t>
    </rPh>
    <rPh sb="9" eb="12">
      <t>タカシナチョウ</t>
    </rPh>
    <rPh sb="19" eb="20">
      <t>ミ</t>
    </rPh>
    <rPh sb="20" eb="21">
      <t>ヤスシ</t>
    </rPh>
    <rPh sb="27" eb="28">
      <t>ゴウ</t>
    </rPh>
    <rPh sb="28" eb="29">
      <t>シツ</t>
    </rPh>
    <phoneticPr fontId="39"/>
  </si>
  <si>
    <t>　　　　　　＜住　　所＞千葉県千葉市若葉区高品町1591-5　三恭ビル0001号室</t>
    <rPh sb="15" eb="18">
      <t>チバシ</t>
    </rPh>
    <rPh sb="18" eb="21">
      <t>ワカバク</t>
    </rPh>
    <rPh sb="21" eb="24">
      <t>タカシナチョウ</t>
    </rPh>
    <rPh sb="31" eb="32">
      <t>ミ</t>
    </rPh>
    <rPh sb="32" eb="33">
      <t>ヤスシ</t>
    </rPh>
    <rPh sb="39" eb="40">
      <t>ゴウ</t>
    </rPh>
    <rPh sb="40" eb="41">
      <t>シツ</t>
    </rPh>
    <phoneticPr fontId="39"/>
  </si>
  <si>
    <t xml:space="preserve">       従業員でなくなった後においてもこれらの秘密を保持する旨を、従業者との雇用契約の内容とします。</t>
    <phoneticPr fontId="39"/>
  </si>
  <si>
    <t>　　　　を請求させていただきます。解約の場合も同様に月の１５日以前の解約については月額の１/２を、１６日以降</t>
    <rPh sb="52" eb="54">
      <t>イコウ</t>
    </rPh>
    <phoneticPr fontId="39"/>
  </si>
  <si>
    <t>　　　　の解約については１ヵ月分の料金を請求させていただきます。</t>
    <phoneticPr fontId="39"/>
  </si>
  <si>
    <r>
      <t>　　　　　　　　　　　　　　　　　　　説明者</t>
    </r>
    <r>
      <rPr>
        <u/>
        <sz val="11"/>
        <color theme="1"/>
        <rFont val="ＭＳ ゴシック"/>
        <family val="3"/>
        <charset val="128"/>
      </rPr>
      <t>　　　髙野　哲　　　</t>
    </r>
    <r>
      <rPr>
        <sz val="11"/>
        <color theme="1"/>
        <rFont val="ＭＳ ゴシック"/>
        <family val="3"/>
        <charset val="128"/>
      </rPr>
      <t>印　　</t>
    </r>
    <rPh sb="25" eb="27">
      <t>タカノ</t>
    </rPh>
    <rPh sb="28" eb="29">
      <t>テツ</t>
    </rPh>
    <phoneticPr fontId="39"/>
  </si>
  <si>
    <t>特殊寝台</t>
    <rPh sb="0" eb="2">
      <t>トクシュ</t>
    </rPh>
    <rPh sb="2" eb="4">
      <t>シンダイ</t>
    </rPh>
    <phoneticPr fontId="39"/>
  </si>
  <si>
    <t>特殊寝台付属品</t>
    <rPh sb="0" eb="2">
      <t>トクシュ</t>
    </rPh>
    <rPh sb="2" eb="4">
      <t>シンダイ</t>
    </rPh>
    <rPh sb="4" eb="7">
      <t>フゾクヒン</t>
    </rPh>
    <phoneticPr fontId="39"/>
  </si>
  <si>
    <t>　　　　＜管理者名＞　　　堂　面　　憲　史　　　  ㊞</t>
    <rPh sb="13" eb="14">
      <t>ドウ</t>
    </rPh>
    <rPh sb="15" eb="16">
      <t>メン</t>
    </rPh>
    <rPh sb="18" eb="19">
      <t>ケン</t>
    </rPh>
    <rPh sb="20" eb="21">
      <t>シ</t>
    </rPh>
    <phoneticPr fontId="39"/>
  </si>
  <si>
    <r>
      <t>　　</t>
    </r>
    <r>
      <rPr>
        <u/>
        <sz val="10"/>
        <color theme="1"/>
        <rFont val="ＭＳ ゴシック"/>
        <family val="3"/>
        <charset val="128"/>
      </rPr>
      <t>氏名　　堂面　憲史　　　電話番号　　０４３－２１４－１６７０</t>
    </r>
    <rPh sb="6" eb="7">
      <t>ドウ</t>
    </rPh>
    <rPh sb="7" eb="8">
      <t>メン</t>
    </rPh>
    <rPh sb="9" eb="10">
      <t>ケン</t>
    </rPh>
    <rPh sb="10" eb="11">
      <t>シ</t>
    </rPh>
    <phoneticPr fontId="39"/>
  </si>
  <si>
    <t>　　　　　　＜管理者名＞　　　堂面　憲史　　印</t>
    <rPh sb="15" eb="16">
      <t>ドウ</t>
    </rPh>
    <rPh sb="16" eb="17">
      <t>メン</t>
    </rPh>
    <rPh sb="18" eb="19">
      <t>ケン</t>
    </rPh>
    <rPh sb="19" eb="20">
      <t>シ</t>
    </rPh>
    <phoneticPr fontId="39"/>
  </si>
  <si>
    <r>
      <t>契約締結日　　　　</t>
    </r>
    <r>
      <rPr>
        <sz val="10"/>
        <color rgb="FFFF0000"/>
        <rFont val="ＭＳ Ｐゴシック"/>
        <family val="3"/>
        <charset val="128"/>
      </rPr>
      <t>令和　3　年　　月　　日</t>
    </r>
    <rPh sb="9" eb="11">
      <t>レイワ</t>
    </rPh>
    <phoneticPr fontId="39"/>
  </si>
  <si>
    <t>令和　3　年　　月　　日</t>
    <phoneticPr fontId="39"/>
  </si>
  <si>
    <r>
      <t>　１　この契約の契約期間は、</t>
    </r>
    <r>
      <rPr>
        <sz val="10"/>
        <color rgb="FFFF0000"/>
        <rFont val="ＭＳ Ｐゴシック"/>
        <family val="3"/>
        <charset val="128"/>
      </rPr>
      <t>令和　3　年　　月　　日</t>
    </r>
    <r>
      <rPr>
        <sz val="10"/>
        <color theme="1"/>
        <rFont val="ＭＳ Ｐゴシック"/>
        <family val="3"/>
        <charset val="128"/>
      </rPr>
      <t>から利用者の要介護認定又は要支援認定の有効期限満了</t>
    </r>
    <phoneticPr fontId="39"/>
  </si>
  <si>
    <t>堂面　憲史　　　TEL　043-214-1670</t>
    <rPh sb="0" eb="1">
      <t>ドウ</t>
    </rPh>
    <rPh sb="1" eb="2">
      <t>メン</t>
    </rPh>
    <rPh sb="3" eb="4">
      <t>ケン</t>
    </rPh>
    <rPh sb="4" eb="5">
      <t>シ</t>
    </rPh>
    <phoneticPr fontId="39"/>
  </si>
  <si>
    <t>＜担　　　　当＞　　管理者　    　　堂面　憲史　　　　　　　　　＜電話＞  043-214-1670</t>
    <rPh sb="20" eb="21">
      <t>ドウ</t>
    </rPh>
    <rPh sb="21" eb="22">
      <t>メン</t>
    </rPh>
    <rPh sb="23" eb="24">
      <t>ケン</t>
    </rPh>
    <rPh sb="24" eb="25">
      <t>シ</t>
    </rPh>
    <phoneticPr fontId="39"/>
  </si>
  <si>
    <t>日</t>
    <rPh sb="0" eb="1">
      <t>ニチ</t>
    </rPh>
    <phoneticPr fontId="39"/>
  </si>
  <si>
    <t>月</t>
    <rPh sb="0" eb="1">
      <t>ガツ</t>
    </rPh>
    <phoneticPr fontId="39"/>
  </si>
  <si>
    <r>
      <t>　　　　　　　　　　　　　　　　　　　説明者</t>
    </r>
    <r>
      <rPr>
        <u/>
        <sz val="11"/>
        <color theme="1"/>
        <rFont val="ＭＳ ゴシック"/>
        <family val="3"/>
        <charset val="128"/>
      </rPr>
      <t>　　　鶴岡　隆幸　　　</t>
    </r>
    <r>
      <rPr>
        <sz val="11"/>
        <color theme="1"/>
        <rFont val="ＭＳ ゴシック"/>
        <family val="3"/>
        <charset val="128"/>
      </rPr>
      <t>印　　</t>
    </r>
    <rPh sb="25" eb="30">
      <t>ツルオカ</t>
    </rPh>
    <phoneticPr fontId="39"/>
  </si>
  <si>
    <r>
      <t>　　　　　　　　　　　　　　　　　　　説明者</t>
    </r>
    <r>
      <rPr>
        <u/>
        <sz val="11"/>
        <color theme="1"/>
        <rFont val="ＭＳ ゴシック"/>
        <family val="3"/>
        <charset val="128"/>
      </rPr>
      <t>　　　澤田　拓馬　　　</t>
    </r>
    <r>
      <rPr>
        <sz val="11"/>
        <color theme="1"/>
        <rFont val="ＭＳ ゴシック"/>
        <family val="3"/>
        <charset val="128"/>
      </rPr>
      <t>印　　</t>
    </r>
    <rPh sb="25" eb="27">
      <t>サワダ</t>
    </rPh>
    <rPh sb="28" eb="29">
      <t>タク</t>
    </rPh>
    <rPh sb="29" eb="30">
      <t>ウマ</t>
    </rPh>
    <phoneticPr fontId="39"/>
  </si>
  <si>
    <t>　　　　＜管理者名＞　　　松　倉　　賢　介　　　  ㊞</t>
    <rPh sb="13" eb="14">
      <t>マツ</t>
    </rPh>
    <rPh sb="15" eb="16">
      <t>クラ</t>
    </rPh>
    <rPh sb="18" eb="19">
      <t>ケン</t>
    </rPh>
    <rPh sb="20" eb="21">
      <t>カイ</t>
    </rPh>
    <phoneticPr fontId="39"/>
  </si>
  <si>
    <t>＜担　　　　当＞　　管理者　    　　松倉　賢介　　　　　　　　　＜電話＞  043-214-1670</t>
    <rPh sb="20" eb="22">
      <t>マツクラ</t>
    </rPh>
    <rPh sb="23" eb="24">
      <t>ケン</t>
    </rPh>
    <rPh sb="24" eb="25">
      <t>スケ</t>
    </rPh>
    <phoneticPr fontId="39"/>
  </si>
  <si>
    <t>　　　　　　＜管理者名＞　　　松倉　賢介　　印</t>
    <rPh sb="15" eb="17">
      <t>マツクラ</t>
    </rPh>
    <rPh sb="18" eb="19">
      <t>ケン</t>
    </rPh>
    <rPh sb="19" eb="20">
      <t>スケ</t>
    </rPh>
    <phoneticPr fontId="39"/>
  </si>
  <si>
    <r>
      <t>　　</t>
    </r>
    <r>
      <rPr>
        <u/>
        <sz val="10"/>
        <color theme="1"/>
        <rFont val="ＭＳ ゴシック"/>
        <family val="3"/>
        <charset val="128"/>
      </rPr>
      <t>氏名　　松倉　賢介　　　電話番号　　０４３－２１４－１６７０</t>
    </r>
    <rPh sb="6" eb="8">
      <t>マツクラ</t>
    </rPh>
    <rPh sb="9" eb="10">
      <t>ケン</t>
    </rPh>
    <rPh sb="10" eb="11">
      <t>スケ</t>
    </rPh>
    <phoneticPr fontId="39"/>
  </si>
  <si>
    <t>松倉　賢介　　TEL　043-214-1670</t>
    <rPh sb="0" eb="2">
      <t>マツクラ</t>
    </rPh>
    <rPh sb="3" eb="4">
      <t>ケン</t>
    </rPh>
    <rPh sb="4" eb="5">
      <t>スケ</t>
    </rPh>
    <phoneticPr fontId="39"/>
  </si>
  <si>
    <t>松倉　賢介　　　TEL　043-214-1670</t>
    <rPh sb="0" eb="2">
      <t>マツクラ</t>
    </rPh>
    <rPh sb="3" eb="4">
      <t>ケン</t>
    </rPh>
    <rPh sb="4" eb="5">
      <t>スケ</t>
    </rPh>
    <phoneticPr fontId="39"/>
  </si>
  <si>
    <t>　　　　　　＜管理者名＞　　　松倉　賢介　印</t>
    <rPh sb="15" eb="17">
      <t>マツクラ</t>
    </rPh>
    <rPh sb="18" eb="19">
      <t>ケン</t>
    </rPh>
    <rPh sb="19" eb="20">
      <t>スケ</t>
    </rPh>
    <phoneticPr fontId="39"/>
  </si>
  <si>
    <r>
      <t>契約締結日　　　　</t>
    </r>
    <r>
      <rPr>
        <sz val="10"/>
        <color rgb="FFFF0000"/>
        <rFont val="ＭＳ Ｐゴシック"/>
        <family val="3"/>
        <charset val="128"/>
      </rPr>
      <t>令和　　4　　年　　　　月　　　　　日</t>
    </r>
    <rPh sb="9" eb="11">
      <t>レイワ</t>
    </rPh>
    <phoneticPr fontId="39"/>
  </si>
  <si>
    <r>
      <t>　１　この契約の契約期間は、</t>
    </r>
    <r>
      <rPr>
        <sz val="10"/>
        <color rgb="FFFF0000"/>
        <rFont val="ＭＳ Ｐゴシック"/>
        <family val="3"/>
        <charset val="128"/>
      </rPr>
      <t>令和　4　年　　　　月　　　　日</t>
    </r>
    <r>
      <rPr>
        <sz val="10"/>
        <color theme="1"/>
        <rFont val="ＭＳ Ｐゴシック"/>
        <family val="3"/>
        <charset val="128"/>
      </rPr>
      <t>から利用者の要介護認定又は要支援認定の有効期限満了</t>
    </r>
    <phoneticPr fontId="39"/>
  </si>
  <si>
    <t>令和　　4　　年　　　月　　　　日</t>
    <phoneticPr fontId="39"/>
  </si>
  <si>
    <t>　　　　＜管理者名＞　　　佐　藤　　勝　利　　　  ㊞</t>
    <rPh sb="13" eb="14">
      <t>サ</t>
    </rPh>
    <rPh sb="15" eb="16">
      <t>フジ</t>
    </rPh>
    <rPh sb="18" eb="19">
      <t>カツ</t>
    </rPh>
    <rPh sb="20" eb="21">
      <t>リ</t>
    </rPh>
    <phoneticPr fontId="39"/>
  </si>
  <si>
    <t>＜担　　　　当＞　　管理者　    　　佐藤　勝利　　　　　　　　　＜電話＞  043-214-1670</t>
    <rPh sb="20" eb="22">
      <t>サトウ</t>
    </rPh>
    <rPh sb="23" eb="25">
      <t>ショウリ</t>
    </rPh>
    <phoneticPr fontId="39"/>
  </si>
  <si>
    <t>電話番号　　０４３－２１４－１６７０</t>
  </si>
  <si>
    <t>氏名　　</t>
    <phoneticPr fontId="39"/>
  </si>
  <si>
    <t>担当:</t>
    <rPh sb="0" eb="2">
      <t>タントウ</t>
    </rPh>
    <phoneticPr fontId="39"/>
  </si>
  <si>
    <t>管理者:</t>
    <rPh sb="0" eb="3">
      <t>カンリシャ</t>
    </rPh>
    <phoneticPr fontId="39"/>
  </si>
  <si>
    <t>月</t>
    <rPh sb="0" eb="1">
      <t>ガツ</t>
    </rPh>
    <phoneticPr fontId="39"/>
  </si>
  <si>
    <t>日</t>
    <rPh sb="0" eb="1">
      <t>ニチ</t>
    </rPh>
    <phoneticPr fontId="39"/>
  </si>
  <si>
    <t>年</t>
    <rPh sb="0" eb="1">
      <t>ネン</t>
    </rPh>
    <phoneticPr fontId="39"/>
  </si>
  <si>
    <t>　　　　　　　　　　　　　　　　　　　説明者</t>
    <phoneticPr fontId="39"/>
  </si>
  <si>
    <t>　　　　　　＜管理者名＞　</t>
    <phoneticPr fontId="39"/>
  </si>
  <si>
    <t>開始日：</t>
    <rPh sb="0" eb="3">
      <t>カイシビ</t>
    </rPh>
    <phoneticPr fontId="39"/>
  </si>
  <si>
    <t>　　　合が２割または３割の方はこれに２または３を乗じた金額が負担額となります。</t>
  </si>
  <si>
    <t>　　　下記の「利用者負担額」は介護保険の負担割合が1割の方の場合の負担額となります。介護保険の負担割</t>
    <rPh sb="3" eb="5">
      <t>カキ</t>
    </rPh>
    <rPh sb="7" eb="10">
      <t>リヨウシャ</t>
    </rPh>
    <rPh sb="10" eb="12">
      <t>フタン</t>
    </rPh>
    <rPh sb="12" eb="13">
      <t>ガク</t>
    </rPh>
    <rPh sb="15" eb="17">
      <t>カイゴ</t>
    </rPh>
    <rPh sb="17" eb="19">
      <t>ホケン</t>
    </rPh>
    <rPh sb="20" eb="22">
      <t>フタン</t>
    </rPh>
    <rPh sb="22" eb="24">
      <t>ワリアイ</t>
    </rPh>
    <rPh sb="26" eb="27">
      <t>ワリ</t>
    </rPh>
    <rPh sb="28" eb="29">
      <t>カタ</t>
    </rPh>
    <rPh sb="30" eb="32">
      <t>バアイ</t>
    </rPh>
    <rPh sb="33" eb="35">
      <t>フタン</t>
    </rPh>
    <rPh sb="35" eb="36">
      <t>ガク</t>
    </rPh>
    <rPh sb="42" eb="44">
      <t>カイゴ</t>
    </rPh>
    <rPh sb="44" eb="46">
      <t>ホケン</t>
    </rPh>
    <rPh sb="47" eb="49">
      <t>フタン</t>
    </rPh>
    <rPh sb="49" eb="50">
      <t>ワリ</t>
    </rPh>
    <phoneticPr fontId="38"/>
  </si>
  <si>
    <t>2022.04.05</t>
    <phoneticPr fontId="39"/>
  </si>
  <si>
    <t>佐藤勝利</t>
    <rPh sb="0" eb="2">
      <t>サトウ</t>
    </rPh>
    <rPh sb="2" eb="4">
      <t>カツトシ</t>
    </rPh>
    <phoneticPr fontId="39"/>
  </si>
  <si>
    <t>初月価格</t>
    <rPh sb="0" eb="2">
      <t>ショゲツ</t>
    </rPh>
    <rPh sb="2" eb="4">
      <t>カカク</t>
    </rPh>
    <phoneticPr fontId="39"/>
  </si>
  <si>
    <t>種目</t>
    <rPh sb="0" eb="2">
      <t>シュモク</t>
    </rPh>
    <phoneticPr fontId="39"/>
  </si>
  <si>
    <t>福祉用具貸与商品</t>
  </si>
  <si>
    <t>金額</t>
    <rPh sb="0" eb="2">
      <t>キンガク</t>
    </rPh>
    <phoneticPr fontId="39"/>
  </si>
  <si>
    <t>連動用</t>
    <rPh sb="0" eb="3">
      <t>レンドウヨウ</t>
    </rPh>
    <phoneticPr fontId="39"/>
  </si>
  <si>
    <t>数量</t>
    <rPh sb="0" eb="2">
      <t>スウリョウ</t>
    </rPh>
    <phoneticPr fontId="39"/>
  </si>
  <si>
    <t>通常</t>
    <rPh sb="0" eb="2">
      <t>ツウジョウ</t>
    </rPh>
    <phoneticPr fontId="39"/>
  </si>
  <si>
    <t>半額</t>
    <rPh sb="0" eb="2">
      <t>ハンガク</t>
    </rPh>
    <phoneticPr fontId="39"/>
  </si>
  <si>
    <t>澤田　拓馬</t>
    <rPh sb="0" eb="5">
      <t>サワダ</t>
    </rPh>
    <phoneticPr fontId="39"/>
  </si>
  <si>
    <t>契約締結日</t>
    <phoneticPr fontId="39"/>
  </si>
  <si>
    <t>令和</t>
    <rPh sb="0" eb="2">
      <t>レイワ</t>
    </rPh>
    <phoneticPr fontId="39"/>
  </si>
  <si>
    <t>年号：</t>
    <rPh sb="0" eb="2">
      <t>ネンゴウ</t>
    </rPh>
    <phoneticPr fontId="39"/>
  </si>
  <si>
    <t>第３項の規定に基づき、株式会社インフォゲート、フランスベッド株式会社、野口株式会社</t>
    <rPh sb="0" eb="1">
      <t>ダイ</t>
    </rPh>
    <phoneticPr fontId="39"/>
  </si>
  <si>
    <t>株式会社日本ケアサプライ、ケアレックス株式会社にこの業務を委託し、業務委託契約書を取り交わした上で</t>
    <phoneticPr fontId="39"/>
  </si>
  <si>
    <t>事業所は委託の契約の内容において、保管及び消毒が適切な方法により行われていることを担保します。</t>
    <phoneticPr fontId="39"/>
  </si>
  <si>
    <t>　　　　　サービスの終了を希望する日の1週間前までに文書又は口頭で通知することにより、サービスを終了することができ</t>
    <phoneticPr fontId="39"/>
  </si>
  <si>
    <t>たよレールBZ-N02 マット付</t>
  </si>
  <si>
    <t>契約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</si>
</sst>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5" formatCode="&quot;¥&quot;#,##0;&quot;¥&quot;\-#,##0"/>
    <numFmt numFmtId="176" formatCode="[$-411]ggge&quot;年&quot;m&quot;月&quot;d&quot;日&quot;;@"/>
  </numFmts>
  <fonts count="56">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0.5"/>
      <color theme="1"/>
      <name val="Century"/>
      <family val="1"/>
    </font>
    <font>
      <sz val="16"/>
      <color theme="1"/>
      <name val="ＭＳ Ｐゴシック"/>
      <family val="3"/>
      <charset val="128"/>
    </font>
    <font>
      <sz val="10"/>
      <color theme="1"/>
      <name val="ＭＳ Ｐゴシック"/>
      <family val="3"/>
      <charset val="128"/>
    </font>
    <font>
      <u/>
      <sz val="10"/>
      <color theme="1"/>
      <name val="ＭＳ Ｐゴシック"/>
      <family val="3"/>
      <charset val="128"/>
    </font>
    <font>
      <sz val="10"/>
      <color theme="1"/>
      <name val="ＭＳ Ｐゴシック"/>
      <family val="3"/>
      <charset val="128"/>
      <scheme val="minor"/>
    </font>
    <font>
      <sz val="9"/>
      <color theme="1"/>
      <name val="ＭＳ Ｐゴシック"/>
      <family val="3"/>
      <charset val="128"/>
    </font>
    <font>
      <sz val="10.5"/>
      <color theme="1"/>
      <name val="ＭＳ Ｐゴシック"/>
      <family val="3"/>
      <charset val="128"/>
    </font>
    <font>
      <sz val="7"/>
      <color theme="1"/>
      <name val="Times New Roman"/>
      <family val="1"/>
    </font>
    <font>
      <sz val="14"/>
      <color theme="1"/>
      <name val="ＭＳ Ｐゴシック"/>
      <family val="3"/>
      <charset val="128"/>
    </font>
    <font>
      <sz val="10"/>
      <color theme="1"/>
      <name val="ＭＳ ゴシック"/>
      <family val="3"/>
      <charset val="128"/>
    </font>
    <font>
      <u/>
      <sz val="10"/>
      <color theme="1"/>
      <name val="ＭＳ ゴシック"/>
      <family val="3"/>
      <charset val="128"/>
    </font>
    <font>
      <sz val="10"/>
      <color theme="1"/>
      <name val="ＭＳ 明朝"/>
      <family val="1"/>
      <charset val="128"/>
    </font>
    <font>
      <sz val="12"/>
      <color theme="1"/>
      <name val="ＭＳ ゴシック"/>
      <family val="3"/>
      <charset val="128"/>
    </font>
    <font>
      <sz val="11"/>
      <color theme="1"/>
      <name val="ＭＳ ゴシック"/>
      <family val="3"/>
      <charset val="128"/>
    </font>
    <font>
      <u/>
      <sz val="11"/>
      <color theme="1"/>
      <name val="ＭＳ ゴシック"/>
      <family val="3"/>
      <charset val="128"/>
    </font>
    <font>
      <sz val="10.5"/>
      <color rgb="FFFF0000"/>
      <name val="ＭＳ Ｐゴシック"/>
      <family val="3"/>
      <charset val="128"/>
    </font>
    <font>
      <sz val="12"/>
      <color theme="1"/>
      <name val="ＭＳ Ｐゴシック"/>
      <family val="3"/>
      <charset val="128"/>
    </font>
    <font>
      <sz val="16"/>
      <color theme="1"/>
      <name val="ＭＳ ゴシック"/>
      <family val="3"/>
      <charset val="128"/>
    </font>
    <font>
      <sz val="10.5"/>
      <color theme="1"/>
      <name val="ＭＳ ゴシック"/>
      <family val="3"/>
      <charset val="128"/>
    </font>
    <font>
      <b/>
      <u/>
      <sz val="12"/>
      <color theme="1"/>
      <name val="ＭＳ ゴシック"/>
      <family val="3"/>
      <charset val="128"/>
    </font>
    <font>
      <b/>
      <sz val="12"/>
      <color theme="1"/>
      <name val="ＭＳ ゴシック"/>
      <family val="3"/>
      <charset val="128"/>
    </font>
    <font>
      <sz val="6"/>
      <name val="ＭＳ Ｐゴシック"/>
      <family val="2"/>
      <charset val="128"/>
      <scheme val="minor"/>
    </font>
    <font>
      <sz val="8"/>
      <color theme="1"/>
      <name val="ＭＳ Ｐゴシック"/>
      <family val="2"/>
      <charset val="128"/>
      <scheme val="minor"/>
    </font>
    <font>
      <sz val="7"/>
      <color theme="1"/>
      <name val="ＭＳ ゴシック"/>
      <family val="3"/>
      <charset val="128"/>
    </font>
    <font>
      <sz val="10"/>
      <color rgb="FFFF0000"/>
      <name val="ＭＳ Ｐゴシック"/>
      <family val="3"/>
      <charset val="128"/>
    </font>
    <font>
      <sz val="11"/>
      <color rgb="FFFF0000"/>
      <name val="ＭＳ Ｐゴシック"/>
      <family val="3"/>
      <charset val="128"/>
      <scheme val="minor"/>
    </font>
    <font>
      <b/>
      <sz val="9"/>
      <color indexed="81"/>
      <name val="MS P ゴシック"/>
      <family val="3"/>
      <charset val="128"/>
    </font>
    <font>
      <sz val="12"/>
      <color rgb="FFFF0000"/>
      <name val="ＭＳ ゴシック"/>
      <family val="3"/>
      <charset val="128"/>
    </font>
    <font>
      <sz val="8.5"/>
      <color theme="1"/>
      <name val="ＭＳ Ｐゴシック"/>
      <family val="3"/>
      <charset val="128"/>
    </font>
    <font>
      <sz val="9.5"/>
      <color theme="1"/>
      <name val="ＭＳ Ｐゴシック"/>
      <family val="3"/>
      <charset val="128"/>
    </font>
    <font>
      <sz val="11"/>
      <color rgb="FF000000"/>
      <name val="游ゴシック"/>
      <family val="3"/>
      <charset val="128"/>
    </font>
    <font>
      <sz val="10"/>
      <color rgb="FFFF0000"/>
      <name val="HG丸ｺﾞｼｯｸM-PRO"/>
      <family val="3"/>
      <charset val="128"/>
    </font>
    <font>
      <sz val="10"/>
      <name val="HG丸ｺﾞｼｯｸM-PRO"/>
      <family val="3"/>
      <charset val="128"/>
    </font>
    <font>
      <sz val="10"/>
      <color rgb="FF444444"/>
      <name val="Arial"/>
      <family val="2"/>
    </font>
    <font>
      <sz val="11"/>
      <color theme="1"/>
      <name val="ＭＳ Ｐゴシック"/>
      <family val="3"/>
      <charset val="128"/>
    </font>
    <font>
      <sz val="10.5"/>
      <name val="ＭＳ Ｐゴシック"/>
      <family val="3"/>
      <charset val="128"/>
    </font>
    <font>
      <sz val="10"/>
      <color theme="1"/>
      <name val="ＭＳ Ｐゴシック"/>
      <family val="2"/>
      <charset val="128"/>
      <scheme val="minor"/>
    </font>
    <font>
      <sz val="8"/>
      <color theme="1"/>
      <name val="ＭＳ Ｐゴシック"/>
      <family val="3"/>
      <charset val="128"/>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6" tint="0.79998168889431442"/>
        <bgColor indexed="64"/>
      </patternFill>
    </fill>
    <fill>
      <patternFill patternType="solid">
        <fgColor theme="1"/>
        <bgColor indexed="64"/>
      </patternFill>
    </fill>
  </fills>
  <borders count="5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double">
        <color indexed="64"/>
      </bottom>
      <diagonal/>
    </border>
    <border>
      <left/>
      <right style="hair">
        <color indexed="64"/>
      </right>
      <top style="hair">
        <color indexed="64"/>
      </top>
      <bottom style="double">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hair">
        <color indexed="64"/>
      </top>
      <bottom style="hair">
        <color indexed="64"/>
      </bottom>
      <diagonal/>
    </border>
    <border>
      <left/>
      <right/>
      <top style="hair">
        <color indexed="64"/>
      </top>
      <bottom style="double">
        <color indexed="64"/>
      </bottom>
      <diagonal/>
    </border>
    <border>
      <left style="hair">
        <color indexed="64"/>
      </left>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style="hair">
        <color indexed="64"/>
      </top>
      <bottom style="thin">
        <color indexed="64"/>
      </bottom>
      <diagonal/>
    </border>
    <border>
      <left/>
      <right style="hair">
        <color indexed="64"/>
      </right>
      <top style="thin">
        <color indexed="64"/>
      </top>
      <bottom style="thin">
        <color indexed="64"/>
      </bottom>
      <diagonal/>
    </border>
    <border>
      <left/>
      <right style="thin">
        <color auto="1"/>
      </right>
      <top style="thin">
        <color auto="1"/>
      </top>
      <bottom style="thin">
        <color auto="1"/>
      </bottom>
      <diagonal/>
    </border>
    <border>
      <left style="hair">
        <color indexed="64"/>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hair">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hair">
        <color indexed="64"/>
      </left>
      <right/>
      <top style="double">
        <color indexed="64"/>
      </top>
      <bottom style="thin">
        <color indexed="64"/>
      </bottom>
      <diagonal/>
    </border>
    <border>
      <left/>
      <right style="hair">
        <color indexed="64"/>
      </right>
      <top style="double">
        <color indexed="64"/>
      </top>
      <bottom style="thin">
        <color indexed="64"/>
      </bottom>
      <diagonal/>
    </border>
    <border>
      <left style="thin">
        <color indexed="64"/>
      </left>
      <right/>
      <top style="hair">
        <color indexed="64"/>
      </top>
      <bottom style="double">
        <color indexed="64"/>
      </bottom>
      <diagonal/>
    </border>
    <border>
      <left/>
      <right style="thin">
        <color indexed="64"/>
      </right>
      <top style="double">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38" fontId="1" fillId="0" borderId="0" applyFont="0" applyFill="0" applyBorder="0" applyAlignment="0" applyProtection="0">
      <alignment vertical="center"/>
    </xf>
  </cellStyleXfs>
  <cellXfs count="193">
    <xf numFmtId="0" fontId="0" fillId="0" borderId="0" xfId="0">
      <alignment vertical="center"/>
    </xf>
    <xf numFmtId="0" fontId="19" fillId="0" borderId="0" xfId="0" applyFont="1" applyAlignment="1">
      <alignment horizontal="centerContinuous" vertical="center"/>
    </xf>
    <xf numFmtId="0" fontId="0" fillId="0" borderId="0" xfId="0" applyAlignment="1">
      <alignment horizontal="centerContinuous" vertical="center"/>
    </xf>
    <xf numFmtId="0" fontId="20" fillId="0" borderId="0" xfId="0" applyFont="1" applyAlignment="1">
      <alignment horizontal="justify" vertical="center"/>
    </xf>
    <xf numFmtId="0" fontId="20" fillId="0" borderId="0" xfId="0" applyFont="1">
      <alignment vertical="center"/>
    </xf>
    <xf numFmtId="0" fontId="20" fillId="0" borderId="0" xfId="0" applyFont="1" applyAlignment="1">
      <alignment vertical="top"/>
    </xf>
    <xf numFmtId="0" fontId="22" fillId="0" borderId="0" xfId="0" applyFont="1">
      <alignment vertical="center"/>
    </xf>
    <xf numFmtId="0" fontId="26" fillId="0" borderId="0" xfId="0" applyFont="1">
      <alignment vertical="center"/>
    </xf>
    <xf numFmtId="0" fontId="27" fillId="0" borderId="0" xfId="0" applyFont="1">
      <alignment vertical="center"/>
    </xf>
    <xf numFmtId="0" fontId="27" fillId="0" borderId="0" xfId="0" applyFont="1" applyAlignment="1">
      <alignment horizontal="justify" vertical="center"/>
    </xf>
    <xf numFmtId="0" fontId="20" fillId="0" borderId="25" xfId="0" applyFont="1" applyBorder="1" applyAlignment="1">
      <alignment horizontal="centerContinuous" vertical="center"/>
    </xf>
    <xf numFmtId="0" fontId="20" fillId="0" borderId="26" xfId="0" applyFont="1" applyBorder="1" applyAlignment="1">
      <alignment horizontal="centerContinuous" vertical="center"/>
    </xf>
    <xf numFmtId="0" fontId="20" fillId="0" borderId="27" xfId="0" applyFont="1" applyBorder="1">
      <alignment vertical="center"/>
    </xf>
    <xf numFmtId="0" fontId="20" fillId="0" borderId="26" xfId="0" applyFont="1" applyBorder="1">
      <alignment vertical="center"/>
    </xf>
    <xf numFmtId="0" fontId="0" fillId="0" borderId="26" xfId="0" applyBorder="1">
      <alignment vertical="center"/>
    </xf>
    <xf numFmtId="0" fontId="0" fillId="0" borderId="29" xfId="0" applyBorder="1">
      <alignment vertical="center"/>
    </xf>
    <xf numFmtId="0" fontId="20" fillId="0" borderId="30" xfId="0" applyFont="1" applyBorder="1" applyAlignment="1">
      <alignment horizontal="centerContinuous" vertical="center"/>
    </xf>
    <xf numFmtId="0" fontId="20" fillId="0" borderId="22" xfId="0" applyFont="1" applyBorder="1" applyAlignment="1">
      <alignment horizontal="centerContinuous" vertical="center"/>
    </xf>
    <xf numFmtId="0" fontId="20" fillId="0" borderId="12" xfId="0" applyFont="1" applyBorder="1">
      <alignment vertical="center"/>
    </xf>
    <xf numFmtId="0" fontId="20" fillId="0" borderId="22" xfId="0" applyFont="1" applyBorder="1">
      <alignment vertical="center"/>
    </xf>
    <xf numFmtId="0" fontId="0" fillId="0" borderId="22" xfId="0" applyBorder="1">
      <alignment vertical="center"/>
    </xf>
    <xf numFmtId="0" fontId="0" fillId="0" borderId="31" xfId="0" applyBorder="1">
      <alignment vertical="center"/>
    </xf>
    <xf numFmtId="0" fontId="20" fillId="0" borderId="32" xfId="0" applyFont="1" applyBorder="1" applyAlignment="1">
      <alignment horizontal="centerContinuous" vertical="center"/>
    </xf>
    <xf numFmtId="0" fontId="20" fillId="0" borderId="33" xfId="0" applyFont="1" applyBorder="1" applyAlignment="1">
      <alignment horizontal="centerContinuous" vertical="center"/>
    </xf>
    <xf numFmtId="0" fontId="20" fillId="0" borderId="34" xfId="0" applyFont="1" applyBorder="1">
      <alignment vertical="center"/>
    </xf>
    <xf numFmtId="0" fontId="20" fillId="0" borderId="33" xfId="0" applyFont="1" applyBorder="1">
      <alignment vertical="center"/>
    </xf>
    <xf numFmtId="0" fontId="0" fillId="0" borderId="33" xfId="0" applyBorder="1">
      <alignment vertical="center"/>
    </xf>
    <xf numFmtId="0" fontId="0" fillId="0" borderId="36" xfId="0" applyBorder="1">
      <alignment vertical="center"/>
    </xf>
    <xf numFmtId="0" fontId="20" fillId="0" borderId="27" xfId="0" applyFont="1" applyBorder="1" applyAlignment="1">
      <alignment horizontal="centerContinuous" vertical="center"/>
    </xf>
    <xf numFmtId="0" fontId="20" fillId="0" borderId="28" xfId="0" applyFont="1" applyBorder="1" applyAlignment="1">
      <alignment horizontal="centerContinuous" vertical="center"/>
    </xf>
    <xf numFmtId="0" fontId="20" fillId="0" borderId="26" xfId="0" applyFont="1" applyBorder="1" applyAlignment="1">
      <alignment horizontal="center" vertical="center"/>
    </xf>
    <xf numFmtId="0" fontId="20" fillId="0" borderId="12" xfId="0" applyFont="1" applyBorder="1" applyAlignment="1">
      <alignment horizontal="centerContinuous" vertical="center"/>
    </xf>
    <xf numFmtId="0" fontId="20" fillId="0" borderId="13" xfId="0" applyFont="1" applyBorder="1" applyAlignment="1">
      <alignment horizontal="centerContinuous" vertical="center"/>
    </xf>
    <xf numFmtId="0" fontId="20" fillId="0" borderId="22" xfId="0" applyFont="1" applyBorder="1" applyAlignment="1">
      <alignment horizontal="center" vertical="center"/>
    </xf>
    <xf numFmtId="0" fontId="20" fillId="0" borderId="34" xfId="0" applyFont="1" applyBorder="1" applyAlignment="1">
      <alignment horizontal="centerContinuous" vertical="center"/>
    </xf>
    <xf numFmtId="0" fontId="20" fillId="0" borderId="35" xfId="0" applyFont="1" applyBorder="1" applyAlignment="1">
      <alignment horizontal="centerContinuous" vertical="center"/>
    </xf>
    <xf numFmtId="0" fontId="20" fillId="0" borderId="33" xfId="0" applyFont="1" applyBorder="1" applyAlignment="1">
      <alignment horizontal="center" vertical="center"/>
    </xf>
    <xf numFmtId="0" fontId="20" fillId="0" borderId="40" xfId="0" applyFont="1" applyBorder="1" applyAlignment="1">
      <alignment horizontal="centerContinuous" vertical="center"/>
    </xf>
    <xf numFmtId="0" fontId="20" fillId="0" borderId="41" xfId="0" applyFont="1" applyBorder="1" applyAlignment="1">
      <alignment horizontal="centerContinuous" vertical="center"/>
    </xf>
    <xf numFmtId="0" fontId="20" fillId="0" borderId="39" xfId="0" applyFont="1" applyBorder="1" applyAlignment="1">
      <alignment horizontal="centerContinuous" vertical="center"/>
    </xf>
    <xf numFmtId="0" fontId="20" fillId="0" borderId="37" xfId="0" applyFont="1" applyBorder="1" applyAlignment="1">
      <alignment horizontal="centerContinuous" vertical="center"/>
    </xf>
    <xf numFmtId="0" fontId="0" fillId="0" borderId="41" xfId="0" applyBorder="1" applyAlignment="1">
      <alignment horizontal="centerContinuous" vertical="center"/>
    </xf>
    <xf numFmtId="0" fontId="0" fillId="0" borderId="38" xfId="0" applyBorder="1" applyAlignment="1">
      <alignment horizontal="centerContinuous" vertical="center"/>
    </xf>
    <xf numFmtId="0" fontId="27" fillId="0" borderId="40" xfId="0" applyFont="1" applyBorder="1" applyAlignment="1">
      <alignment vertical="top"/>
    </xf>
    <xf numFmtId="0" fontId="27" fillId="0" borderId="41" xfId="0" applyFont="1" applyBorder="1" applyAlignment="1">
      <alignment vertical="top"/>
    </xf>
    <xf numFmtId="0" fontId="27" fillId="0" borderId="38" xfId="0" applyFont="1" applyBorder="1" applyAlignment="1">
      <alignment vertical="top"/>
    </xf>
    <xf numFmtId="0" fontId="0" fillId="0" borderId="41" xfId="0" applyBorder="1">
      <alignment vertical="center"/>
    </xf>
    <xf numFmtId="0" fontId="0" fillId="0" borderId="38" xfId="0" applyBorder="1">
      <alignment vertical="center"/>
    </xf>
    <xf numFmtId="0" fontId="20" fillId="0" borderId="40" xfId="0" applyFont="1" applyBorder="1" applyAlignment="1">
      <alignment horizontal="left" vertical="top"/>
    </xf>
    <xf numFmtId="0" fontId="29" fillId="0" borderId="0" xfId="0" applyFont="1">
      <alignment vertical="center"/>
    </xf>
    <xf numFmtId="0" fontId="20" fillId="0" borderId="41" xfId="0" applyFont="1" applyBorder="1" applyAlignment="1">
      <alignment horizontal="left" vertical="center"/>
    </xf>
    <xf numFmtId="0" fontId="20" fillId="0" borderId="38" xfId="0" applyFont="1" applyBorder="1" applyAlignment="1">
      <alignment horizontal="left" vertical="center"/>
    </xf>
    <xf numFmtId="0" fontId="30" fillId="0" borderId="0" xfId="0" applyFont="1" applyAlignment="1">
      <alignment horizontal="left" vertical="center"/>
    </xf>
    <xf numFmtId="0" fontId="31" fillId="0" borderId="0" xfId="0" applyFont="1" applyAlignment="1">
      <alignment horizontal="left" vertical="center"/>
    </xf>
    <xf numFmtId="0" fontId="26" fillId="0" borderId="0" xfId="0" applyFont="1" applyAlignment="1">
      <alignment horizontal="centerContinuous" vertical="center"/>
    </xf>
    <xf numFmtId="0" fontId="33" fillId="0" borderId="0" xfId="0" applyFont="1" applyAlignment="1">
      <alignment horizontal="justify" vertical="center"/>
    </xf>
    <xf numFmtId="0" fontId="24" fillId="0" borderId="0" xfId="0" applyFont="1" applyAlignment="1">
      <alignment horizontal="justify" vertical="center"/>
    </xf>
    <xf numFmtId="0" fontId="34" fillId="0" borderId="0" xfId="0" applyFont="1">
      <alignment vertical="center"/>
    </xf>
    <xf numFmtId="0" fontId="34" fillId="0" borderId="41" xfId="0" applyFont="1" applyBorder="1" applyAlignment="1">
      <alignment horizontal="left" vertical="center"/>
    </xf>
    <xf numFmtId="0" fontId="0" fillId="0" borderId="41" xfId="0" applyBorder="1" applyAlignment="1">
      <alignment horizontal="left" vertical="center"/>
    </xf>
    <xf numFmtId="0" fontId="0" fillId="0" borderId="38" xfId="0" applyBorder="1" applyAlignment="1">
      <alignment horizontal="left" vertical="center"/>
    </xf>
    <xf numFmtId="0" fontId="34" fillId="0" borderId="43" xfId="0" applyFont="1" applyBorder="1" applyAlignment="1">
      <alignment horizontal="left" vertical="center"/>
    </xf>
    <xf numFmtId="0" fontId="34" fillId="0" borderId="0" xfId="0" applyFont="1" applyAlignment="1">
      <alignment horizontal="left" vertical="center"/>
    </xf>
    <xf numFmtId="0" fontId="0" fillId="0" borderId="0" xfId="0"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34" fillId="0" borderId="44" xfId="0" applyFont="1" applyBorder="1" applyAlignment="1">
      <alignment horizontal="left" vertical="center"/>
    </xf>
    <xf numFmtId="0" fontId="34" fillId="0" borderId="20" xfId="0" applyFont="1" applyBorder="1" applyAlignment="1">
      <alignment horizontal="left" vertical="center"/>
    </xf>
    <xf numFmtId="0" fontId="0" fillId="0" borderId="20" xfId="0" applyBorder="1" applyAlignment="1">
      <alignment horizontal="left" vertical="center"/>
    </xf>
    <xf numFmtId="0" fontId="0" fillId="0" borderId="21" xfId="0" applyBorder="1" applyAlignment="1">
      <alignment horizontal="left" vertical="center"/>
    </xf>
    <xf numFmtId="0" fontId="34" fillId="0" borderId="42" xfId="0" applyFont="1" applyBorder="1" applyAlignment="1">
      <alignment horizontal="left" vertical="center"/>
    </xf>
    <xf numFmtId="0" fontId="34" fillId="0" borderId="17" xfId="0" applyFont="1" applyBorder="1" applyAlignment="1">
      <alignment horizontal="left" vertical="center"/>
    </xf>
    <xf numFmtId="0" fontId="18" fillId="0" borderId="0" xfId="0" applyFont="1" applyAlignment="1">
      <alignment horizontal="left" vertical="center"/>
    </xf>
    <xf numFmtId="0" fontId="0" fillId="0" borderId="16" xfId="0" applyBorder="1" applyAlignment="1">
      <alignment horizontal="center" vertical="center"/>
    </xf>
    <xf numFmtId="0" fontId="20" fillId="0" borderId="0" xfId="0" applyFont="1" applyAlignment="1">
      <alignment horizontal="left" vertical="center"/>
    </xf>
    <xf numFmtId="0" fontId="0" fillId="0" borderId="43" xfId="0" applyBorder="1" applyAlignment="1">
      <alignment horizontal="left" vertical="center"/>
    </xf>
    <xf numFmtId="0" fontId="0" fillId="0" borderId="43" xfId="0" applyBorder="1" applyAlignment="1">
      <alignment horizontal="center" vertical="center"/>
    </xf>
    <xf numFmtId="0" fontId="23" fillId="0" borderId="0" xfId="0" applyFont="1" applyAlignment="1">
      <alignment horizontal="left" vertical="center"/>
    </xf>
    <xf numFmtId="0" fontId="0" fillId="0" borderId="44" xfId="0" applyBorder="1" applyAlignment="1">
      <alignment horizontal="left" vertical="center"/>
    </xf>
    <xf numFmtId="0" fontId="36" fillId="0" borderId="0" xfId="0" applyFont="1" applyAlignment="1">
      <alignment horizontal="justify" vertical="center"/>
    </xf>
    <xf numFmtId="0" fontId="30" fillId="0" borderId="0" xfId="0" applyFont="1">
      <alignment vertical="center"/>
    </xf>
    <xf numFmtId="0" fontId="30" fillId="0" borderId="0" xfId="0" applyFont="1" applyAlignment="1">
      <alignment horizontal="justify" vertical="center"/>
    </xf>
    <xf numFmtId="0" fontId="30" fillId="0" borderId="0" xfId="0" applyFont="1" applyAlignment="1">
      <alignment horizontal="centerContinuous" vertical="center"/>
    </xf>
    <xf numFmtId="0" fontId="36" fillId="0" borderId="0" xfId="0" applyFont="1" applyAlignment="1">
      <alignment horizontal="left" vertical="center"/>
    </xf>
    <xf numFmtId="0" fontId="36" fillId="0" borderId="0" xfId="0" applyFont="1" applyAlignment="1">
      <alignment horizontal="centerContinuous" vertical="center"/>
    </xf>
    <xf numFmtId="0" fontId="27" fillId="0" borderId="0" xfId="0" applyFont="1" applyAlignment="1">
      <alignment horizontal="left" vertical="center"/>
    </xf>
    <xf numFmtId="0" fontId="27" fillId="0" borderId="0" xfId="0" applyFont="1" applyAlignment="1">
      <alignment horizontal="centerContinuous" vertical="center"/>
    </xf>
    <xf numFmtId="0" fontId="38" fillId="0" borderId="0" xfId="0" applyFont="1" applyAlignment="1">
      <alignment horizontal="justify" vertical="center"/>
    </xf>
    <xf numFmtId="0" fontId="37" fillId="0" borderId="0" xfId="0" applyFont="1">
      <alignment vertical="center"/>
    </xf>
    <xf numFmtId="0" fontId="20" fillId="0" borderId="20" xfId="0" applyFont="1" applyBorder="1">
      <alignment vertical="center"/>
    </xf>
    <xf numFmtId="0" fontId="0" fillId="0" borderId="20" xfId="0" applyBorder="1">
      <alignment vertical="center"/>
    </xf>
    <xf numFmtId="0" fontId="23" fillId="0" borderId="27" xfId="0" applyFont="1" applyBorder="1" applyAlignment="1">
      <alignment horizontal="centerContinuous" vertical="center"/>
    </xf>
    <xf numFmtId="0" fontId="23" fillId="0" borderId="28" xfId="0" applyFont="1" applyBorder="1" applyAlignment="1">
      <alignment horizontal="centerContinuous" vertical="center"/>
    </xf>
    <xf numFmtId="0" fontId="20" fillId="0" borderId="45" xfId="0" applyFont="1" applyBorder="1" applyAlignment="1">
      <alignment horizontal="center" vertical="center"/>
    </xf>
    <xf numFmtId="0" fontId="20" fillId="0" borderId="47" xfId="0" applyFont="1" applyBorder="1" applyAlignment="1">
      <alignment horizontal="centerContinuous" vertical="center"/>
    </xf>
    <xf numFmtId="0" fontId="20" fillId="0" borderId="48" xfId="0" applyFont="1" applyBorder="1" applyAlignment="1">
      <alignment horizontal="centerContinuous" vertical="center"/>
    </xf>
    <xf numFmtId="0" fontId="0" fillId="0" borderId="0" xfId="0" applyProtection="1">
      <alignment vertical="center"/>
      <protection locked="0"/>
    </xf>
    <xf numFmtId="0" fontId="40" fillId="0" borderId="0" xfId="0" applyFont="1" applyAlignment="1">
      <alignment horizontal="right" vertical="center"/>
    </xf>
    <xf numFmtId="0" fontId="35" fillId="0" borderId="0" xfId="0" applyFont="1" applyAlignment="1">
      <alignment horizontal="centerContinuous" vertical="center"/>
    </xf>
    <xf numFmtId="0" fontId="20" fillId="0" borderId="19" xfId="0" applyFont="1" applyBorder="1" applyAlignment="1">
      <alignment horizontal="centerContinuous" vertical="center"/>
    </xf>
    <xf numFmtId="0" fontId="20" fillId="0" borderId="38" xfId="0" applyFont="1" applyBorder="1" applyAlignment="1">
      <alignment horizontal="centerContinuous" vertical="center"/>
    </xf>
    <xf numFmtId="0" fontId="34" fillId="0" borderId="16" xfId="0" applyFont="1" applyBorder="1" applyAlignment="1">
      <alignment horizontal="left" vertical="center"/>
    </xf>
    <xf numFmtId="0" fontId="38" fillId="0" borderId="0" xfId="0" applyFont="1">
      <alignment vertical="center"/>
    </xf>
    <xf numFmtId="0" fontId="42" fillId="0" borderId="0" xfId="0" applyFont="1">
      <alignment vertical="center"/>
    </xf>
    <xf numFmtId="0" fontId="43" fillId="0" borderId="0" xfId="0" applyFont="1">
      <alignment vertical="center"/>
    </xf>
    <xf numFmtId="0" fontId="20" fillId="0" borderId="41" xfId="0" applyFont="1" applyBorder="1" applyAlignment="1">
      <alignment horizontal="left" vertical="top"/>
    </xf>
    <xf numFmtId="0" fontId="20" fillId="0" borderId="38" xfId="0" applyFont="1" applyBorder="1" applyAlignment="1">
      <alignment horizontal="left" vertical="top"/>
    </xf>
    <xf numFmtId="0" fontId="45" fillId="0" borderId="0" xfId="0" applyFont="1" applyAlignment="1">
      <alignment horizontal="left" vertical="center"/>
    </xf>
    <xf numFmtId="0" fontId="46" fillId="0" borderId="24" xfId="0" applyFont="1" applyBorder="1" applyAlignment="1">
      <alignment horizontal="centerContinuous" vertical="center"/>
    </xf>
    <xf numFmtId="0" fontId="46" fillId="0" borderId="18" xfId="0" applyFont="1" applyBorder="1" applyAlignment="1">
      <alignment horizontal="centerContinuous" vertical="center"/>
    </xf>
    <xf numFmtId="0" fontId="24" fillId="0" borderId="10"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0" fillId="0" borderId="0" xfId="0" applyAlignment="1">
      <alignment horizontal="center" vertical="center"/>
    </xf>
    <xf numFmtId="0" fontId="14" fillId="0" borderId="0" xfId="0" applyFont="1">
      <alignment vertical="center"/>
    </xf>
    <xf numFmtId="0" fontId="30" fillId="0" borderId="0" xfId="0" applyFont="1" applyAlignment="1">
      <alignment horizontal="center" vertical="center"/>
    </xf>
    <xf numFmtId="0" fontId="30" fillId="0" borderId="0" xfId="0" applyFont="1" applyAlignment="1">
      <alignment horizontal="right" vertical="center"/>
    </xf>
    <xf numFmtId="0" fontId="27" fillId="0" borderId="20" xfId="0" applyFont="1" applyBorder="1">
      <alignment vertical="center"/>
    </xf>
    <xf numFmtId="0" fontId="0" fillId="0" borderId="0" xfId="0" applyAlignment="1">
      <alignment horizontal="right" vertical="center"/>
    </xf>
    <xf numFmtId="0" fontId="0" fillId="0" borderId="53" xfId="0" applyBorder="1">
      <alignment vertical="center"/>
    </xf>
    <xf numFmtId="0" fontId="0" fillId="33" borderId="53" xfId="0" applyFill="1" applyBorder="1" applyAlignment="1">
      <alignment horizontal="center" vertical="center"/>
    </xf>
    <xf numFmtId="5" fontId="49" fillId="34" borderId="13" xfId="0" applyNumberFormat="1" applyFont="1" applyFill="1" applyBorder="1" applyAlignment="1">
      <alignment horizontal="right" vertical="center" shrinkToFit="1"/>
    </xf>
    <xf numFmtId="0" fontId="50" fillId="0" borderId="54" xfId="0" applyFont="1" applyBorder="1" applyAlignment="1">
      <alignment vertical="center" shrinkToFit="1"/>
    </xf>
    <xf numFmtId="0" fontId="20" fillId="0" borderId="16" xfId="0" applyFont="1" applyBorder="1" applyAlignment="1">
      <alignment horizontal="left" vertical="center"/>
    </xf>
    <xf numFmtId="0" fontId="0" fillId="35" borderId="55" xfId="0" applyFill="1" applyBorder="1">
      <alignment vertical="center"/>
    </xf>
    <xf numFmtId="0" fontId="23" fillId="0" borderId="16" xfId="0" applyFont="1" applyBorder="1" applyAlignment="1">
      <alignment horizontal="center" vertical="center" wrapText="1"/>
    </xf>
    <xf numFmtId="0" fontId="51" fillId="35" borderId="56" xfId="0" applyFont="1" applyFill="1" applyBorder="1">
      <alignment vertical="center"/>
    </xf>
    <xf numFmtId="0" fontId="50" fillId="0" borderId="13" xfId="0" applyFont="1" applyBorder="1" applyAlignment="1">
      <alignment vertical="center" shrinkToFit="1"/>
    </xf>
    <xf numFmtId="0" fontId="24" fillId="0" borderId="0" xfId="0" applyFont="1">
      <alignment vertical="center"/>
    </xf>
    <xf numFmtId="0" fontId="50" fillId="0" borderId="13" xfId="0" applyFont="1" applyBorder="1" applyAlignment="1">
      <alignment vertical="distributed" shrinkToFit="1"/>
    </xf>
    <xf numFmtId="0" fontId="51" fillId="0" borderId="38" xfId="0" applyFont="1" applyBorder="1">
      <alignment vertical="center"/>
    </xf>
    <xf numFmtId="0" fontId="0" fillId="0" borderId="16" xfId="0" applyBorder="1">
      <alignment vertical="center"/>
    </xf>
    <xf numFmtId="0" fontId="0" fillId="35" borderId="57" xfId="0" applyFill="1" applyBorder="1">
      <alignment vertical="center"/>
    </xf>
    <xf numFmtId="0" fontId="23" fillId="0" borderId="25" xfId="0" applyFont="1" applyBorder="1" applyAlignment="1">
      <alignment horizontal="center" vertical="center" wrapText="1"/>
    </xf>
    <xf numFmtId="0" fontId="23" fillId="0" borderId="26" xfId="0" applyFont="1" applyBorder="1" applyAlignment="1">
      <alignment horizontal="center" vertical="center" wrapText="1"/>
    </xf>
    <xf numFmtId="0" fontId="52" fillId="0" borderId="0" xfId="0" applyFont="1">
      <alignment vertical="center"/>
    </xf>
    <xf numFmtId="0" fontId="53" fillId="0" borderId="10" xfId="0" applyFont="1" applyBorder="1" applyAlignment="1" applyProtection="1">
      <alignment horizontal="center" vertical="center"/>
      <protection locked="0"/>
    </xf>
    <xf numFmtId="0" fontId="53" fillId="0" borderId="11" xfId="0" applyFont="1" applyBorder="1" applyAlignment="1" applyProtection="1">
      <alignment horizontal="center" vertical="center"/>
      <protection locked="0"/>
    </xf>
    <xf numFmtId="0" fontId="20" fillId="0" borderId="0" xfId="0" applyFont="1" applyAlignment="1">
      <alignment horizontal="right" vertical="center"/>
    </xf>
    <xf numFmtId="3" fontId="20" fillId="0" borderId="0" xfId="0" applyNumberFormat="1" applyFont="1" applyAlignment="1">
      <alignment horizontal="left" vertical="center"/>
    </xf>
    <xf numFmtId="3" fontId="0" fillId="0" borderId="0" xfId="0" applyNumberFormat="1">
      <alignment vertical="center"/>
    </xf>
    <xf numFmtId="176" fontId="0" fillId="0" borderId="0" xfId="0" applyNumberFormat="1">
      <alignment vertical="center"/>
    </xf>
    <xf numFmtId="3" fontId="0" fillId="0" borderId="0" xfId="0" applyNumberFormat="1" applyProtection="1">
      <alignment vertical="center"/>
      <protection locked="0"/>
    </xf>
    <xf numFmtId="176" fontId="0" fillId="0" borderId="0" xfId="0" applyNumberFormat="1" applyProtection="1">
      <alignment vertical="center"/>
      <protection locked="0"/>
    </xf>
    <xf numFmtId="0" fontId="54" fillId="0" borderId="53" xfId="0" applyFont="1" applyBorder="1">
      <alignment vertical="center"/>
    </xf>
    <xf numFmtId="0" fontId="55" fillId="0" borderId="0" xfId="0" applyFont="1">
      <alignment vertical="center"/>
    </xf>
    <xf numFmtId="0" fontId="55" fillId="0" borderId="0" xfId="0" applyFont="1" applyAlignment="1">
      <alignment horizontal="right" vertical="center"/>
    </xf>
    <xf numFmtId="38" fontId="24" fillId="0" borderId="49" xfId="42" applyFont="1" applyBorder="1" applyAlignment="1" applyProtection="1">
      <alignment horizontal="right" vertical="center"/>
      <protection locked="0"/>
    </xf>
    <xf numFmtId="38" fontId="24" fillId="0" borderId="50" xfId="42" applyFont="1" applyBorder="1" applyAlignment="1" applyProtection="1">
      <alignment horizontal="right" vertical="center"/>
      <protection locked="0"/>
    </xf>
    <xf numFmtId="38" fontId="24" fillId="0" borderId="52" xfId="42" applyFont="1" applyBorder="1" applyAlignment="1" applyProtection="1">
      <alignment horizontal="right" vertical="center"/>
      <protection locked="0"/>
    </xf>
    <xf numFmtId="0" fontId="53" fillId="0" borderId="30" xfId="0" applyFont="1" applyBorder="1" applyAlignment="1" applyProtection="1">
      <alignment horizontal="left" vertical="center"/>
      <protection locked="0"/>
    </xf>
    <xf numFmtId="0" fontId="53" fillId="0" borderId="22" xfId="0" applyFont="1" applyBorder="1" applyAlignment="1" applyProtection="1">
      <alignment horizontal="left" vertical="center"/>
      <protection locked="0"/>
    </xf>
    <xf numFmtId="0" fontId="53" fillId="0" borderId="13" xfId="0" applyFont="1" applyBorder="1" applyAlignment="1" applyProtection="1">
      <alignment horizontal="left" vertical="center"/>
      <protection locked="0"/>
    </xf>
    <xf numFmtId="0" fontId="53" fillId="0" borderId="12" xfId="0" applyFont="1" applyBorder="1" applyProtection="1">
      <alignment vertical="center"/>
      <protection locked="0"/>
    </xf>
    <xf numFmtId="0" fontId="53" fillId="0" borderId="22" xfId="0" applyFont="1" applyBorder="1" applyProtection="1">
      <alignment vertical="center"/>
      <protection locked="0"/>
    </xf>
    <xf numFmtId="0" fontId="53" fillId="0" borderId="13" xfId="0" applyFont="1" applyBorder="1" applyProtection="1">
      <alignment vertical="center"/>
      <protection locked="0"/>
    </xf>
    <xf numFmtId="38" fontId="53" fillId="0" borderId="12" xfId="42" applyFont="1" applyBorder="1" applyAlignment="1" applyProtection="1">
      <alignment vertical="center"/>
      <protection locked="0"/>
    </xf>
    <xf numFmtId="38" fontId="53" fillId="0" borderId="13" xfId="42" applyFont="1" applyBorder="1" applyAlignment="1" applyProtection="1">
      <alignment vertical="center"/>
      <protection locked="0"/>
    </xf>
    <xf numFmtId="38" fontId="24" fillId="0" borderId="12" xfId="42" applyFont="1" applyBorder="1" applyAlignment="1" applyProtection="1">
      <alignment vertical="center"/>
      <protection locked="0"/>
    </xf>
    <xf numFmtId="38" fontId="24" fillId="0" borderId="13" xfId="42" applyFont="1" applyBorder="1" applyAlignment="1" applyProtection="1">
      <alignment vertical="center"/>
      <protection locked="0"/>
    </xf>
    <xf numFmtId="38" fontId="24" fillId="0" borderId="31" xfId="42" applyFont="1" applyBorder="1" applyAlignment="1" applyProtection="1">
      <alignment vertical="center"/>
      <protection locked="0"/>
    </xf>
    <xf numFmtId="0" fontId="24" fillId="0" borderId="30" xfId="0" applyFont="1" applyBorder="1" applyAlignment="1" applyProtection="1">
      <alignment horizontal="left" vertical="center"/>
      <protection locked="0"/>
    </xf>
    <xf numFmtId="0" fontId="24" fillId="0" borderId="22" xfId="0" applyFont="1" applyBorder="1" applyAlignment="1" applyProtection="1">
      <alignment horizontal="left" vertical="center"/>
      <protection locked="0"/>
    </xf>
    <xf numFmtId="0" fontId="24" fillId="0" borderId="13" xfId="0" applyFont="1" applyBorder="1" applyAlignment="1" applyProtection="1">
      <alignment horizontal="left" vertical="center"/>
      <protection locked="0"/>
    </xf>
    <xf numFmtId="0" fontId="24" fillId="0" borderId="12" xfId="0" applyFont="1" applyBorder="1" applyProtection="1">
      <alignment vertical="center"/>
      <protection locked="0"/>
    </xf>
    <xf numFmtId="0" fontId="24" fillId="0" borderId="22" xfId="0" applyFont="1" applyBorder="1" applyProtection="1">
      <alignment vertical="center"/>
      <protection locked="0"/>
    </xf>
    <xf numFmtId="0" fontId="24" fillId="0" borderId="13" xfId="0" applyFont="1" applyBorder="1" applyProtection="1">
      <alignment vertical="center"/>
      <protection locked="0"/>
    </xf>
    <xf numFmtId="0" fontId="49" fillId="34" borderId="12" xfId="0" applyFont="1" applyFill="1" applyBorder="1" applyAlignment="1">
      <alignment horizontal="left" vertical="center" shrinkToFit="1"/>
    </xf>
    <xf numFmtId="0" fontId="49" fillId="34" borderId="22" xfId="0" applyFont="1" applyFill="1" applyBorder="1" applyAlignment="1">
      <alignment horizontal="left" vertical="center" shrinkToFit="1"/>
    </xf>
    <xf numFmtId="0" fontId="49" fillId="34" borderId="13" xfId="0" applyFont="1" applyFill="1" applyBorder="1" applyAlignment="1">
      <alignment horizontal="left" vertical="center" shrinkToFit="1"/>
    </xf>
    <xf numFmtId="0" fontId="23" fillId="0" borderId="40" xfId="0" applyFont="1" applyBorder="1" applyAlignment="1">
      <alignment horizontal="center" vertical="center" wrapText="1"/>
    </xf>
    <xf numFmtId="0" fontId="23" fillId="0" borderId="41" xfId="0" applyFont="1" applyBorder="1" applyAlignment="1">
      <alignment horizontal="center" vertical="center" wrapText="1"/>
    </xf>
    <xf numFmtId="0" fontId="23" fillId="0" borderId="38" xfId="0" applyFont="1" applyBorder="1" applyAlignment="1">
      <alignment horizontal="center" vertical="center" wrapText="1"/>
    </xf>
    <xf numFmtId="0" fontId="49" fillId="34" borderId="27" xfId="0" applyFont="1" applyFill="1" applyBorder="1" applyAlignment="1">
      <alignment horizontal="left" vertical="center" shrinkToFit="1"/>
    </xf>
    <xf numFmtId="0" fontId="49" fillId="34" borderId="26" xfId="0" applyFont="1" applyFill="1" applyBorder="1" applyAlignment="1">
      <alignment horizontal="left" vertical="center" shrinkToFit="1"/>
    </xf>
    <xf numFmtId="0" fontId="49" fillId="34" borderId="28" xfId="0" applyFont="1" applyFill="1" applyBorder="1" applyAlignment="1">
      <alignment horizontal="left" vertical="center" shrinkToFit="1"/>
    </xf>
    <xf numFmtId="0" fontId="20" fillId="0" borderId="0" xfId="0" applyFont="1" applyAlignment="1">
      <alignment horizontal="center" vertical="center"/>
    </xf>
    <xf numFmtId="0" fontId="45" fillId="0" borderId="0" xfId="0" applyFont="1" applyAlignment="1">
      <alignment horizontal="right" vertical="center"/>
    </xf>
    <xf numFmtId="0" fontId="49" fillId="34" borderId="34" xfId="0" applyFont="1" applyFill="1" applyBorder="1" applyAlignment="1">
      <alignment horizontal="left" vertical="center" shrinkToFit="1"/>
    </xf>
    <xf numFmtId="0" fontId="49" fillId="34" borderId="33" xfId="0" applyFont="1" applyFill="1" applyBorder="1" applyAlignment="1">
      <alignment horizontal="left" vertical="center" shrinkToFit="1"/>
    </xf>
    <xf numFmtId="0" fontId="49" fillId="34" borderId="35" xfId="0" applyFont="1" applyFill="1" applyBorder="1" applyAlignment="1">
      <alignment horizontal="left" vertical="center" shrinkToFit="1"/>
    </xf>
    <xf numFmtId="0" fontId="24" fillId="0" borderId="14" xfId="0" applyFont="1" applyBorder="1" applyProtection="1">
      <alignment vertical="center"/>
      <protection locked="0"/>
    </xf>
    <xf numFmtId="0" fontId="24" fillId="0" borderId="23" xfId="0" applyFont="1" applyBorder="1" applyProtection="1">
      <alignment vertical="center"/>
      <protection locked="0"/>
    </xf>
    <xf numFmtId="0" fontId="24" fillId="0" borderId="15" xfId="0" applyFont="1" applyBorder="1" applyProtection="1">
      <alignment vertical="center"/>
      <protection locked="0"/>
    </xf>
    <xf numFmtId="0" fontId="24" fillId="0" borderId="51" xfId="0" applyFont="1" applyBorder="1" applyAlignment="1" applyProtection="1">
      <alignment horizontal="left" vertical="center"/>
      <protection locked="0"/>
    </xf>
    <xf numFmtId="0" fontId="24" fillId="0" borderId="23" xfId="0" applyFont="1" applyBorder="1" applyAlignment="1" applyProtection="1">
      <alignment horizontal="left" vertical="center"/>
      <protection locked="0"/>
    </xf>
    <xf numFmtId="0" fontId="24" fillId="0" borderId="15" xfId="0" applyFont="1" applyBorder="1" applyAlignment="1" applyProtection="1">
      <alignment horizontal="left" vertical="center"/>
      <protection locked="0"/>
    </xf>
    <xf numFmtId="0" fontId="47" fillId="0" borderId="12" xfId="0" applyFont="1" applyBorder="1" applyProtection="1">
      <alignment vertical="center"/>
      <protection locked="0"/>
    </xf>
    <xf numFmtId="0" fontId="47" fillId="0" borderId="22" xfId="0" applyFont="1" applyBorder="1" applyProtection="1">
      <alignment vertical="center"/>
      <protection locked="0"/>
    </xf>
    <xf numFmtId="0" fontId="47" fillId="0" borderId="13" xfId="0" applyFont="1" applyBorder="1" applyProtection="1">
      <alignment vertical="center"/>
      <protection locked="0"/>
    </xf>
    <xf numFmtId="38" fontId="24" fillId="0" borderId="14" xfId="42" applyFont="1" applyBorder="1" applyAlignment="1" applyProtection="1">
      <alignment vertical="center"/>
      <protection locked="0"/>
    </xf>
    <xf numFmtId="38" fontId="24" fillId="0" borderId="15" xfId="42" applyFont="1" applyBorder="1" applyAlignment="1" applyProtection="1">
      <alignment vertical="center"/>
      <protection locked="0"/>
    </xf>
    <xf numFmtId="38" fontId="24" fillId="0" borderId="46" xfId="42" applyFont="1" applyBorder="1" applyAlignment="1" applyProtection="1">
      <alignment vertical="center"/>
      <protection locked="0"/>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450850</xdr:colOff>
          <xdr:row>11</xdr:row>
          <xdr:rowOff>69850</xdr:rowOff>
        </xdr:from>
        <xdr:to>
          <xdr:col>21</xdr:col>
          <xdr:colOff>209550</xdr:colOff>
          <xdr:row>17</xdr:row>
          <xdr:rowOff>50800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現在ページ印刷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438150</xdr:colOff>
          <xdr:row>20</xdr:row>
          <xdr:rowOff>50800</xdr:rowOff>
        </xdr:from>
        <xdr:to>
          <xdr:col>21</xdr:col>
          <xdr:colOff>203200</xdr:colOff>
          <xdr:row>26</xdr:row>
          <xdr:rowOff>19050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現在ページ印刷</a:t>
              </a:r>
            </a:p>
            <a:p>
              <a:pPr algn="ctr" rtl="0">
                <a:defRPr sz="1000"/>
              </a:pPr>
              <a:r>
                <a:rPr lang="ja-JP" altLang="en-US" sz="1100" b="0" i="0" u="none" strike="noStrike" baseline="0">
                  <a:solidFill>
                    <a:srgbClr val="000000"/>
                  </a:solidFill>
                  <a:latin typeface="游ゴシック"/>
                  <a:ea typeface="游ゴシック"/>
                </a:rPr>
                <a:t>（2部）</a:t>
              </a:r>
            </a:p>
          </xdr:txBody>
        </xdr:sp>
        <xdr:clientData fPrintsWithSheet="0"/>
      </xdr:twoCellAnchor>
    </mc:Choice>
    <mc:Fallback/>
  </mc:AlternateContent>
  <xdr:twoCellAnchor>
    <xdr:from>
      <xdr:col>21</xdr:col>
      <xdr:colOff>566058</xdr:colOff>
      <xdr:row>62</xdr:row>
      <xdr:rowOff>108858</xdr:rowOff>
    </xdr:from>
    <xdr:to>
      <xdr:col>30</xdr:col>
      <xdr:colOff>295367</xdr:colOff>
      <xdr:row>64</xdr:row>
      <xdr:rowOff>148046</xdr:rowOff>
    </xdr:to>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9753601" y="10199915"/>
          <a:ext cx="5313680"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↓貸与報告書から種目～金額のセルをコピー→そのまま貼り付けてください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4B7F8-B320-4FEF-BCCF-DD92455297C2}">
  <sheetPr codeName="Sheet1">
    <tabColor theme="1" tint="0.499984740745262"/>
    <pageSetUpPr fitToPage="1"/>
  </sheetPr>
  <dimension ref="A1:AJ406"/>
  <sheetViews>
    <sheetView tabSelected="1" view="pageBreakPreview" zoomScaleNormal="100" zoomScaleSheetLayoutView="100" workbookViewId="0">
      <selection activeCell="AE22" sqref="AE22"/>
    </sheetView>
  </sheetViews>
  <sheetFormatPr defaultColWidth="9" defaultRowHeight="13"/>
  <cols>
    <col min="1" max="1" width="4.453125" customWidth="1"/>
    <col min="2" max="2" width="3.453125" customWidth="1"/>
    <col min="3" max="3" width="10.08984375" customWidth="1"/>
    <col min="4" max="4" width="5.08984375" customWidth="1"/>
    <col min="5" max="5" width="4.90625" customWidth="1"/>
    <col min="6" max="7" width="8.453125" customWidth="1"/>
    <col min="8" max="8" width="1.7265625" customWidth="1"/>
    <col min="9" max="9" width="3.453125" customWidth="1"/>
    <col min="10" max="10" width="7.453125" customWidth="1"/>
    <col min="11" max="11" width="1.90625" customWidth="1"/>
    <col min="12" max="12" width="6.26953125" customWidth="1"/>
    <col min="13" max="13" width="8.26953125" customWidth="1"/>
    <col min="14" max="14" width="2.453125" customWidth="1"/>
    <col min="15" max="15" width="3.08984375" customWidth="1"/>
    <col min="16" max="16" width="8.453125" customWidth="1"/>
    <col min="17" max="17" width="2.453125" customWidth="1"/>
    <col min="18" max="18" width="3.7265625" customWidth="1"/>
    <col min="19" max="19" width="3" customWidth="1"/>
    <col min="20" max="20" width="4.26953125" customWidth="1"/>
    <col min="21" max="21" width="9.6328125" customWidth="1"/>
    <col min="22" max="22" width="3.08984375" customWidth="1"/>
    <col min="23" max="23" width="2.453125" customWidth="1"/>
    <col min="24" max="24" width="3.7265625" customWidth="1"/>
    <col min="25" max="25" width="6.90625" customWidth="1"/>
    <col min="26" max="26" width="6" customWidth="1"/>
    <col min="27" max="27" width="6.90625" customWidth="1"/>
    <col min="28" max="28" width="4.6328125" customWidth="1"/>
  </cols>
  <sheetData>
    <row r="1" spans="1:24" ht="10.5" customHeight="1" thickBot="1">
      <c r="P1" s="98" t="s">
        <v>385</v>
      </c>
    </row>
    <row r="2" spans="1:24" ht="15" customHeight="1" thickBot="1">
      <c r="A2" s="1" t="s">
        <v>107</v>
      </c>
      <c r="B2" s="1"/>
      <c r="C2" s="1"/>
      <c r="D2" s="1"/>
      <c r="E2" s="1"/>
      <c r="F2" s="2"/>
      <c r="G2" s="2"/>
      <c r="H2" s="2"/>
      <c r="I2" s="2"/>
      <c r="J2" s="2"/>
      <c r="K2" s="2"/>
      <c r="L2" s="2"/>
      <c r="M2" s="2"/>
      <c r="N2" s="2"/>
      <c r="O2" s="2"/>
      <c r="P2" s="2"/>
      <c r="Q2" s="145"/>
      <c r="R2" s="146" t="s">
        <v>382</v>
      </c>
      <c r="S2" s="119">
        <v>6</v>
      </c>
      <c r="T2" t="s">
        <v>379</v>
      </c>
      <c r="U2" s="119">
        <v>3</v>
      </c>
      <c r="V2" t="s">
        <v>377</v>
      </c>
      <c r="W2" s="119">
        <v>13</v>
      </c>
      <c r="X2" t="s">
        <v>378</v>
      </c>
    </row>
    <row r="3" spans="1:24" ht="10.5" customHeight="1" thickBot="1">
      <c r="A3" s="3"/>
      <c r="B3" s="3"/>
      <c r="C3" s="3"/>
      <c r="D3" s="3"/>
      <c r="E3" s="3"/>
      <c r="Q3" s="145"/>
      <c r="R3" s="146" t="s">
        <v>398</v>
      </c>
      <c r="S3" s="144" t="s">
        <v>397</v>
      </c>
      <c r="T3" s="6"/>
    </row>
    <row r="4" spans="1:24" ht="13.5" customHeight="1" thickBot="1">
      <c r="A4" s="4" t="s">
        <v>0</v>
      </c>
      <c r="B4" s="4"/>
      <c r="C4" s="4"/>
      <c r="D4" s="4"/>
      <c r="E4" s="4"/>
      <c r="Q4" s="145"/>
      <c r="R4" s="145"/>
      <c r="S4" s="6"/>
      <c r="T4" s="6" t="s">
        <v>375</v>
      </c>
      <c r="U4" s="120" t="s">
        <v>395</v>
      </c>
    </row>
    <row r="5" spans="1:24" ht="13.5" customHeight="1" thickBot="1">
      <c r="A5" s="4" t="s">
        <v>265</v>
      </c>
      <c r="B5" s="4"/>
      <c r="C5" s="4"/>
      <c r="D5" s="4"/>
      <c r="E5" s="4"/>
      <c r="S5" s="6"/>
      <c r="T5" s="6" t="s">
        <v>376</v>
      </c>
      <c r="U5" s="120" t="s">
        <v>386</v>
      </c>
    </row>
    <row r="6" spans="1:24" ht="13.5" customHeight="1">
      <c r="A6" s="5" t="s">
        <v>266</v>
      </c>
      <c r="B6" s="5"/>
      <c r="C6" s="5"/>
      <c r="D6" s="5"/>
      <c r="E6" s="5"/>
      <c r="S6" s="6"/>
      <c r="T6" s="6"/>
    </row>
    <row r="7" spans="1:24" ht="13.5" customHeight="1">
      <c r="A7" s="5" t="s">
        <v>267</v>
      </c>
      <c r="B7" s="5"/>
      <c r="C7" s="5"/>
      <c r="D7" s="5"/>
      <c r="E7" s="5"/>
    </row>
    <row r="8" spans="1:24" ht="13.5" customHeight="1">
      <c r="A8" s="5"/>
      <c r="B8" s="5"/>
      <c r="C8" s="5"/>
      <c r="D8" s="5"/>
      <c r="E8" s="5"/>
    </row>
    <row r="9" spans="1:24" ht="13.5" customHeight="1">
      <c r="A9" s="4"/>
      <c r="B9" s="4"/>
      <c r="C9" s="4"/>
      <c r="D9" s="4"/>
      <c r="E9" s="4"/>
    </row>
    <row r="10" spans="1:24" ht="13.5" customHeight="1">
      <c r="A10" s="4" t="s">
        <v>1</v>
      </c>
      <c r="B10" s="4"/>
      <c r="C10" s="4"/>
      <c r="D10" s="4"/>
      <c r="E10" s="4"/>
    </row>
    <row r="11" spans="1:24" ht="13.5" customHeight="1">
      <c r="A11" s="4" t="str">
        <f>+"　１　この契約の契約期間は、"&amp;S3&amp;"　"&amp;S2&amp;"　年　"&amp;U2&amp;"　月　"&amp;W2&amp;"　日から利用者の要介護認定又は要支援認定の有効期限満了"</f>
        <v>　１　この契約の契約期間は、令和　6　年　3　月　13　日から利用者の要介護認定又は要支援認定の有効期限満了</v>
      </c>
      <c r="B11" s="4"/>
      <c r="C11" s="4"/>
      <c r="D11" s="4"/>
      <c r="E11" s="4"/>
    </row>
    <row r="12" spans="1:24" ht="13.5" customHeight="1">
      <c r="A12" s="4" t="s">
        <v>153</v>
      </c>
      <c r="B12" s="4"/>
      <c r="C12" s="4"/>
      <c r="D12" s="4"/>
      <c r="E12" s="4"/>
    </row>
    <row r="13" spans="1:24" ht="13.5" customHeight="1">
      <c r="A13" s="6" t="s">
        <v>154</v>
      </c>
      <c r="B13" s="6"/>
      <c r="C13" s="6"/>
      <c r="D13" s="6"/>
      <c r="E13" s="6"/>
    </row>
    <row r="14" spans="1:24" ht="13.5" customHeight="1">
      <c r="A14" s="4" t="s">
        <v>155</v>
      </c>
      <c r="B14" s="4"/>
      <c r="C14" s="4"/>
      <c r="D14" s="4"/>
      <c r="E14" s="4"/>
    </row>
    <row r="15" spans="1:24" ht="13.5" customHeight="1">
      <c r="A15" s="4"/>
      <c r="B15" s="4"/>
      <c r="C15" s="4"/>
      <c r="D15" s="4"/>
      <c r="E15" s="4"/>
    </row>
    <row r="16" spans="1:24" ht="13.5" customHeight="1">
      <c r="A16" s="4"/>
      <c r="B16" s="4"/>
      <c r="C16" s="4"/>
      <c r="D16" s="4"/>
      <c r="E16" s="4"/>
    </row>
    <row r="17" spans="1:5" ht="13.5" customHeight="1">
      <c r="A17" s="4" t="s">
        <v>2</v>
      </c>
      <c r="B17" s="4"/>
      <c r="C17" s="4"/>
      <c r="D17" s="4"/>
      <c r="E17" s="4"/>
    </row>
    <row r="18" spans="1:5" ht="13.5" customHeight="1">
      <c r="A18" s="4" t="s">
        <v>268</v>
      </c>
      <c r="B18" s="4"/>
      <c r="C18" s="4"/>
      <c r="D18" s="4"/>
      <c r="E18" s="4"/>
    </row>
    <row r="19" spans="1:5" ht="13.5" customHeight="1">
      <c r="A19" s="4" t="s">
        <v>251</v>
      </c>
      <c r="B19" s="4"/>
      <c r="C19" s="4"/>
      <c r="D19" s="4"/>
      <c r="E19" s="4"/>
    </row>
    <row r="20" spans="1:5" ht="13.5" customHeight="1">
      <c r="A20" s="4" t="s">
        <v>252</v>
      </c>
      <c r="B20" s="4"/>
      <c r="C20" s="4"/>
      <c r="D20" s="4"/>
      <c r="E20" s="4"/>
    </row>
    <row r="21" spans="1:5" ht="13.5" customHeight="1">
      <c r="A21" s="4"/>
      <c r="B21" s="4"/>
      <c r="C21" s="4"/>
      <c r="D21" s="4"/>
      <c r="E21" s="4"/>
    </row>
    <row r="22" spans="1:5" ht="13.5" customHeight="1">
      <c r="A22" s="4"/>
      <c r="B22" s="4"/>
      <c r="C22" s="4"/>
      <c r="D22" s="4"/>
      <c r="E22" s="4"/>
    </row>
    <row r="23" spans="1:5" ht="13.5" customHeight="1">
      <c r="A23" s="4" t="s">
        <v>3</v>
      </c>
      <c r="B23" s="4"/>
      <c r="C23" s="4"/>
      <c r="D23" s="4"/>
      <c r="E23" s="4"/>
    </row>
    <row r="24" spans="1:5" ht="13.5" customHeight="1">
      <c r="A24" s="6" t="s">
        <v>156</v>
      </c>
      <c r="B24" s="6"/>
      <c r="C24" s="6"/>
      <c r="D24" s="6"/>
      <c r="E24" s="6"/>
    </row>
    <row r="25" spans="1:5" ht="13.5" customHeight="1">
      <c r="A25" s="6" t="s">
        <v>157</v>
      </c>
      <c r="B25" s="6"/>
      <c r="C25" s="6"/>
      <c r="D25" s="6"/>
      <c r="E25" s="6"/>
    </row>
    <row r="26" spans="1:5" ht="13.5" customHeight="1">
      <c r="A26" s="6" t="s">
        <v>158</v>
      </c>
      <c r="B26" s="6"/>
      <c r="C26" s="6"/>
      <c r="D26" s="6"/>
      <c r="E26" s="6"/>
    </row>
    <row r="27" spans="1:5" ht="13.5" customHeight="1">
      <c r="A27" s="4" t="s">
        <v>108</v>
      </c>
      <c r="B27" s="4"/>
      <c r="C27" s="4"/>
      <c r="D27" s="4"/>
      <c r="E27" s="4"/>
    </row>
    <row r="28" spans="1:5" ht="13.5" customHeight="1">
      <c r="A28" s="4" t="s">
        <v>159</v>
      </c>
      <c r="B28" s="4"/>
      <c r="C28" s="4"/>
      <c r="D28" s="4"/>
      <c r="E28" s="4"/>
    </row>
    <row r="29" spans="1:5" ht="13.5" customHeight="1">
      <c r="A29" s="4" t="s">
        <v>160</v>
      </c>
      <c r="B29" s="4"/>
      <c r="C29" s="4"/>
      <c r="D29" s="4"/>
      <c r="E29" s="4"/>
    </row>
    <row r="30" spans="1:5" ht="13.5" customHeight="1">
      <c r="A30" s="4" t="s">
        <v>161</v>
      </c>
      <c r="B30" s="4"/>
      <c r="C30" s="4"/>
      <c r="D30" s="4"/>
      <c r="E30" s="4"/>
    </row>
    <row r="31" spans="1:5" ht="13.5" customHeight="1">
      <c r="A31" s="4" t="s">
        <v>162</v>
      </c>
      <c r="B31" s="4"/>
      <c r="C31" s="4"/>
      <c r="D31" s="4"/>
      <c r="E31" s="4"/>
    </row>
    <row r="32" spans="1:5" ht="13.5" customHeight="1">
      <c r="A32" s="4" t="s">
        <v>109</v>
      </c>
      <c r="B32" s="4"/>
      <c r="C32" s="4"/>
      <c r="D32" s="4"/>
      <c r="E32" s="4"/>
    </row>
    <row r="33" spans="1:5" ht="13.5" customHeight="1">
      <c r="A33" s="4"/>
      <c r="B33" s="4"/>
      <c r="C33" s="4"/>
      <c r="D33" s="4"/>
      <c r="E33" s="4"/>
    </row>
    <row r="34" spans="1:5" ht="13.5" customHeight="1">
      <c r="A34" s="4"/>
      <c r="B34" s="4"/>
      <c r="C34" s="4"/>
      <c r="D34" s="4"/>
      <c r="E34" s="4"/>
    </row>
    <row r="35" spans="1:5" ht="13.5" customHeight="1">
      <c r="A35" s="4" t="s">
        <v>4</v>
      </c>
      <c r="B35" s="4"/>
      <c r="C35" s="4"/>
      <c r="D35" s="4"/>
      <c r="E35" s="4"/>
    </row>
    <row r="36" spans="1:5" ht="13.5" customHeight="1">
      <c r="A36" s="4" t="s">
        <v>269</v>
      </c>
      <c r="B36" s="4"/>
      <c r="C36" s="4"/>
      <c r="D36" s="4"/>
      <c r="E36" s="4"/>
    </row>
    <row r="37" spans="1:5" ht="13.5" customHeight="1">
      <c r="A37" s="4" t="s">
        <v>163</v>
      </c>
      <c r="B37" s="4"/>
      <c r="C37" s="4"/>
      <c r="D37" s="4"/>
      <c r="E37" s="4"/>
    </row>
    <row r="38" spans="1:5" ht="13.5" customHeight="1">
      <c r="A38" s="4" t="s">
        <v>109</v>
      </c>
      <c r="B38" s="4"/>
      <c r="C38" s="4"/>
      <c r="D38" s="4"/>
      <c r="E38" s="4"/>
    </row>
    <row r="39" spans="1:5" ht="13.5" customHeight="1">
      <c r="A39" s="4" t="s">
        <v>166</v>
      </c>
      <c r="B39" s="4"/>
      <c r="C39" s="4"/>
      <c r="D39" s="4"/>
      <c r="E39" s="4"/>
    </row>
    <row r="40" spans="1:5" ht="13.5" customHeight="1">
      <c r="A40" s="4" t="s">
        <v>109</v>
      </c>
      <c r="B40" s="4"/>
      <c r="C40" s="4"/>
      <c r="D40" s="4"/>
      <c r="E40" s="4"/>
    </row>
    <row r="41" spans="1:5" ht="13.5" customHeight="1">
      <c r="A41" s="4" t="s">
        <v>167</v>
      </c>
      <c r="B41" s="4"/>
      <c r="C41" s="4"/>
      <c r="D41" s="4"/>
      <c r="E41" s="4"/>
    </row>
    <row r="42" spans="1:5" ht="13.5" customHeight="1">
      <c r="A42" s="4" t="s">
        <v>168</v>
      </c>
      <c r="B42" s="4"/>
      <c r="C42" s="4"/>
      <c r="D42" s="4"/>
      <c r="E42" s="4"/>
    </row>
    <row r="43" spans="1:5" ht="13.5" customHeight="1">
      <c r="A43" s="4" t="s">
        <v>169</v>
      </c>
      <c r="B43" s="4"/>
      <c r="C43" s="4"/>
      <c r="D43" s="4"/>
      <c r="E43" s="4"/>
    </row>
    <row r="44" spans="1:5" ht="13.5" customHeight="1">
      <c r="A44" s="4" t="s">
        <v>170</v>
      </c>
      <c r="B44" s="4"/>
      <c r="C44" s="4"/>
      <c r="D44" s="4"/>
      <c r="E44" s="4"/>
    </row>
    <row r="45" spans="1:5" ht="13.5" customHeight="1">
      <c r="A45" s="4"/>
      <c r="B45" s="4"/>
      <c r="C45" s="4"/>
      <c r="D45" s="4"/>
      <c r="E45" s="4"/>
    </row>
    <row r="46" spans="1:5" ht="13.5" customHeight="1">
      <c r="A46" s="4"/>
      <c r="B46" s="4"/>
      <c r="C46" s="4"/>
      <c r="D46" s="4"/>
      <c r="E46" s="4"/>
    </row>
    <row r="47" spans="1:5" ht="13.5" customHeight="1">
      <c r="A47" s="4" t="s">
        <v>5</v>
      </c>
      <c r="B47" s="4"/>
      <c r="C47" s="4"/>
      <c r="D47" s="4"/>
      <c r="E47" s="4"/>
    </row>
    <row r="48" spans="1:5" ht="13.5" customHeight="1">
      <c r="A48" s="4" t="s">
        <v>270</v>
      </c>
      <c r="B48" s="4"/>
      <c r="C48" s="4"/>
      <c r="D48" s="4"/>
      <c r="E48" s="4"/>
    </row>
    <row r="49" spans="1:5" ht="13.5" customHeight="1">
      <c r="A49" s="4" t="s">
        <v>271</v>
      </c>
      <c r="B49" s="4"/>
      <c r="C49" s="4"/>
      <c r="D49" s="4"/>
      <c r="E49" s="4"/>
    </row>
    <row r="50" spans="1:5" ht="13.5" customHeight="1">
      <c r="A50" s="4" t="s">
        <v>164</v>
      </c>
      <c r="B50" s="4"/>
      <c r="C50" s="4"/>
      <c r="D50" s="4"/>
      <c r="E50" s="4"/>
    </row>
    <row r="51" spans="1:5" ht="13.5" customHeight="1">
      <c r="A51" s="4" t="s">
        <v>110</v>
      </c>
      <c r="B51" s="4"/>
      <c r="C51" s="4"/>
      <c r="D51" s="4"/>
      <c r="E51" s="4"/>
    </row>
    <row r="52" spans="1:5" ht="13.5" customHeight="1">
      <c r="A52" s="4"/>
      <c r="B52" s="4"/>
      <c r="C52" s="4"/>
      <c r="D52" s="4"/>
      <c r="E52" s="4"/>
    </row>
    <row r="53" spans="1:5" ht="13.5" customHeight="1">
      <c r="A53" s="4"/>
      <c r="B53" s="4"/>
      <c r="C53" s="4"/>
      <c r="D53" s="4"/>
      <c r="E53" s="4"/>
    </row>
    <row r="54" spans="1:5" ht="13.5" customHeight="1">
      <c r="A54" s="4" t="s">
        <v>6</v>
      </c>
      <c r="B54" s="4"/>
      <c r="C54" s="4"/>
      <c r="D54" s="4"/>
      <c r="E54" s="4"/>
    </row>
    <row r="55" spans="1:5" ht="13.5" customHeight="1">
      <c r="A55" s="4" t="s">
        <v>330</v>
      </c>
      <c r="B55" s="4"/>
      <c r="C55" s="4"/>
      <c r="D55" s="4"/>
      <c r="E55" s="4"/>
    </row>
    <row r="56" spans="1:5" ht="13.5" customHeight="1">
      <c r="A56" s="4" t="s">
        <v>336</v>
      </c>
      <c r="B56" s="4"/>
      <c r="C56" s="4"/>
      <c r="D56" s="4"/>
      <c r="E56" s="4"/>
    </row>
    <row r="57" spans="1:5" ht="13.5" customHeight="1">
      <c r="A57" s="4" t="s">
        <v>111</v>
      </c>
      <c r="B57" s="4"/>
      <c r="C57" s="4"/>
      <c r="D57" s="4"/>
      <c r="E57" s="4"/>
    </row>
    <row r="58" spans="1:5" ht="13.5" customHeight="1">
      <c r="A58" s="4" t="s">
        <v>338</v>
      </c>
      <c r="B58" s="4"/>
      <c r="C58" s="4"/>
      <c r="D58" s="4"/>
      <c r="E58" s="4"/>
    </row>
    <row r="59" spans="1:5" ht="13.5" customHeight="1">
      <c r="A59" s="4" t="s">
        <v>280</v>
      </c>
      <c r="B59" s="4"/>
      <c r="C59" s="4"/>
      <c r="D59" s="4"/>
      <c r="E59" s="4"/>
    </row>
    <row r="60" spans="1:5" ht="13.5" customHeight="1">
      <c r="A60" s="4" t="s">
        <v>281</v>
      </c>
      <c r="B60" s="4"/>
      <c r="C60" s="4"/>
      <c r="D60" s="4"/>
      <c r="E60" s="4"/>
    </row>
    <row r="61" spans="1:5" ht="13.5" customHeight="1">
      <c r="A61" s="4" t="s">
        <v>165</v>
      </c>
      <c r="B61" s="4"/>
      <c r="C61" s="4"/>
      <c r="D61" s="4"/>
      <c r="E61" s="4"/>
    </row>
    <row r="62" spans="1:5" ht="13.5" customHeight="1">
      <c r="A62" s="4" t="s">
        <v>335</v>
      </c>
      <c r="B62" s="4"/>
      <c r="C62" s="4"/>
      <c r="D62" s="4"/>
      <c r="E62" s="4"/>
    </row>
    <row r="63" spans="1:5" ht="13.5" customHeight="1">
      <c r="A63" s="4" t="s">
        <v>272</v>
      </c>
      <c r="B63" s="4"/>
      <c r="C63" s="4"/>
      <c r="D63" s="4"/>
      <c r="E63" s="4"/>
    </row>
    <row r="64" spans="1:5">
      <c r="A64" s="104" t="s">
        <v>329</v>
      </c>
      <c r="B64" s="4"/>
      <c r="C64" s="4"/>
      <c r="D64" s="4"/>
      <c r="E64" s="4"/>
    </row>
    <row r="65" spans="1:36">
      <c r="A65" s="4" t="s">
        <v>334</v>
      </c>
      <c r="B65" s="4"/>
      <c r="C65" s="4"/>
      <c r="D65" s="4"/>
      <c r="E65" s="4"/>
    </row>
    <row r="66" spans="1:36" ht="13.5" thickBot="1">
      <c r="A66" s="4" t="s">
        <v>384</v>
      </c>
      <c r="B66" s="4"/>
      <c r="C66" s="4"/>
      <c r="D66" s="4"/>
      <c r="E66" s="4"/>
    </row>
    <row r="67" spans="1:36">
      <c r="A67" s="4" t="s">
        <v>383</v>
      </c>
      <c r="B67" s="4"/>
      <c r="C67" s="4"/>
      <c r="D67" s="4"/>
      <c r="E67" s="4"/>
      <c r="U67" s="4"/>
      <c r="V67" s="75"/>
      <c r="W67" s="124"/>
      <c r="X67" s="47" t="s">
        <v>388</v>
      </c>
      <c r="Y67" s="170" t="s">
        <v>389</v>
      </c>
      <c r="Z67" s="171"/>
      <c r="AA67" s="171"/>
      <c r="AB67" s="172"/>
      <c r="AC67" s="125" t="s">
        <v>390</v>
      </c>
      <c r="AD67" s="75"/>
    </row>
    <row r="68" spans="1:36" ht="16.75" customHeight="1">
      <c r="A68" s="10" t="s">
        <v>7</v>
      </c>
      <c r="B68" s="11"/>
      <c r="C68" s="11"/>
      <c r="D68" s="28" t="s">
        <v>138</v>
      </c>
      <c r="E68" s="11"/>
      <c r="F68" s="11"/>
      <c r="G68" s="11"/>
      <c r="H68" s="11"/>
      <c r="I68" s="29"/>
      <c r="J68" s="92" t="s">
        <v>8</v>
      </c>
      <c r="K68" s="93"/>
      <c r="L68" s="94" t="s">
        <v>9</v>
      </c>
      <c r="M68" s="92" t="s">
        <v>10</v>
      </c>
      <c r="N68" s="93"/>
      <c r="O68" s="109" t="s">
        <v>11</v>
      </c>
      <c r="P68" s="110"/>
      <c r="R68" s="123" t="s">
        <v>387</v>
      </c>
      <c r="U68" s="75"/>
      <c r="V68" s="75"/>
      <c r="W68" s="126">
        <f>IF(Y68="","",COUNTA($Y68:AB$68))</f>
        <v>1</v>
      </c>
      <c r="X68" s="122" t="s">
        <v>61</v>
      </c>
      <c r="Y68" s="173" t="s">
        <v>403</v>
      </c>
      <c r="Z68" s="174"/>
      <c r="AA68" s="174"/>
      <c r="AB68" s="175"/>
      <c r="AC68" s="121">
        <v>2500</v>
      </c>
      <c r="AD68" s="139">
        <v>250</v>
      </c>
      <c r="AE68" s="140"/>
      <c r="AF68" s="141">
        <v>45352</v>
      </c>
      <c r="AG68" s="141"/>
      <c r="AH68" s="141" t="s">
        <v>404</v>
      </c>
      <c r="AI68" s="140">
        <v>250</v>
      </c>
      <c r="AJ68" s="140"/>
    </row>
    <row r="69" spans="1:36" s="97" customFormat="1" ht="16.75" customHeight="1">
      <c r="A69" s="161" t="str">
        <f>X97</f>
        <v>手すり</v>
      </c>
      <c r="B69" s="162"/>
      <c r="C69" s="163"/>
      <c r="D69" s="164" t="str">
        <f>Y97</f>
        <v>たよレールBZ-N02 マット付</v>
      </c>
      <c r="E69" s="165"/>
      <c r="F69" s="165"/>
      <c r="G69" s="165"/>
      <c r="H69" s="165"/>
      <c r="I69" s="166"/>
      <c r="J69" s="158">
        <f>Z97</f>
        <v>2500</v>
      </c>
      <c r="K69" s="159"/>
      <c r="L69" s="111">
        <v>1</v>
      </c>
      <c r="M69" s="158">
        <f>IF(J69=""," ",J69*0.1)</f>
        <v>250</v>
      </c>
      <c r="N69" s="159"/>
      <c r="O69" s="158">
        <f>IF(J69=""," ",J69*0.1*IF(R69="通常",1,0.5))</f>
        <v>250</v>
      </c>
      <c r="P69" s="160"/>
      <c r="R69" s="123" t="s">
        <v>393</v>
      </c>
      <c r="U69" s="75"/>
      <c r="V69" s="75"/>
      <c r="W69" s="126" t="str">
        <f>IF(Y69="","",COUNTA($Y$68:AB69))</f>
        <v/>
      </c>
      <c r="X69" s="122"/>
      <c r="Y69" s="167"/>
      <c r="Z69" s="168"/>
      <c r="AA69" s="168"/>
      <c r="AB69" s="169"/>
      <c r="AC69" s="121"/>
      <c r="AD69" s="139"/>
      <c r="AE69" s="142"/>
      <c r="AF69" s="143"/>
      <c r="AG69" s="143"/>
      <c r="AH69" s="143"/>
      <c r="AI69" s="142"/>
      <c r="AJ69" s="142"/>
    </row>
    <row r="70" spans="1:36" s="97" customFormat="1" ht="16.75" customHeight="1">
      <c r="A70" s="161" t="str">
        <f t="shared" ref="A70:A78" si="0">X98</f>
        <v/>
      </c>
      <c r="B70" s="162"/>
      <c r="C70" s="163"/>
      <c r="D70" s="164" t="str">
        <f t="shared" ref="D70:D78" si="1">Y98</f>
        <v/>
      </c>
      <c r="E70" s="165"/>
      <c r="F70" s="165"/>
      <c r="G70" s="165"/>
      <c r="H70" s="165"/>
      <c r="I70" s="166"/>
      <c r="J70" s="158" t="str">
        <f t="shared" ref="J70:J78" si="2">Z98</f>
        <v/>
      </c>
      <c r="K70" s="159"/>
      <c r="L70" s="111"/>
      <c r="M70" s="158" t="str">
        <f t="shared" ref="M70:M78" si="3">IF(J70=""," ",J70*0.1)</f>
        <v xml:space="preserve"> </v>
      </c>
      <c r="N70" s="159"/>
      <c r="O70" s="158" t="str">
        <f t="shared" ref="O70:O78" si="4">IF(J70=""," ",J70*0.1*IF(R70="通常",1,0.5))</f>
        <v xml:space="preserve"> </v>
      </c>
      <c r="P70" s="160"/>
      <c r="R70" s="123" t="s">
        <v>393</v>
      </c>
      <c r="U70" s="75"/>
      <c r="V70" s="75"/>
      <c r="W70" s="126" t="str">
        <f>IF(Y70="","",COUNTA($Y$68:AB70))</f>
        <v/>
      </c>
      <c r="X70" s="122"/>
      <c r="Y70" s="167"/>
      <c r="Z70" s="168"/>
      <c r="AA70" s="168"/>
      <c r="AB70" s="169"/>
      <c r="AC70" s="121"/>
      <c r="AD70" s="139"/>
      <c r="AE70" s="142"/>
      <c r="AF70" s="143"/>
      <c r="AG70" s="143"/>
      <c r="AH70" s="143"/>
      <c r="AI70" s="142"/>
      <c r="AJ70" s="142"/>
    </row>
    <row r="71" spans="1:36" s="97" customFormat="1" ht="16.75" customHeight="1">
      <c r="A71" s="150" t="str">
        <f t="shared" si="0"/>
        <v/>
      </c>
      <c r="B71" s="151"/>
      <c r="C71" s="152"/>
      <c r="D71" s="153" t="str">
        <f t="shared" si="1"/>
        <v/>
      </c>
      <c r="E71" s="154"/>
      <c r="F71" s="154"/>
      <c r="G71" s="154"/>
      <c r="H71" s="154"/>
      <c r="I71" s="155"/>
      <c r="J71" s="156" t="str">
        <f t="shared" si="2"/>
        <v/>
      </c>
      <c r="K71" s="157"/>
      <c r="L71" s="111"/>
      <c r="M71" s="158" t="str">
        <f t="shared" si="3"/>
        <v xml:space="preserve"> </v>
      </c>
      <c r="N71" s="159"/>
      <c r="O71" s="158" t="str">
        <f t="shared" si="4"/>
        <v xml:space="preserve"> </v>
      </c>
      <c r="P71" s="160"/>
      <c r="R71" s="123" t="s">
        <v>393</v>
      </c>
      <c r="U71" s="75"/>
      <c r="V71" s="75"/>
      <c r="W71" s="126" t="str">
        <f>IF(Y71="","",COUNTA($Y$68:AB71))</f>
        <v/>
      </c>
      <c r="X71" s="122"/>
      <c r="Y71" s="167"/>
      <c r="Z71" s="168"/>
      <c r="AA71" s="168"/>
      <c r="AB71" s="169"/>
      <c r="AC71" s="121"/>
      <c r="AD71" s="139"/>
      <c r="AE71" s="142"/>
      <c r="AF71" s="143"/>
      <c r="AG71" s="143"/>
      <c r="AH71" s="143"/>
      <c r="AI71" s="142"/>
      <c r="AJ71" s="142"/>
    </row>
    <row r="72" spans="1:36" s="97" customFormat="1" ht="16.75" customHeight="1">
      <c r="A72" s="150" t="str">
        <f t="shared" si="0"/>
        <v/>
      </c>
      <c r="B72" s="151"/>
      <c r="C72" s="152"/>
      <c r="D72" s="153" t="str">
        <f t="shared" si="1"/>
        <v/>
      </c>
      <c r="E72" s="154"/>
      <c r="F72" s="154"/>
      <c r="G72" s="154"/>
      <c r="H72" s="154"/>
      <c r="I72" s="155"/>
      <c r="J72" s="156" t="str">
        <f t="shared" si="2"/>
        <v/>
      </c>
      <c r="K72" s="157"/>
      <c r="L72" s="111"/>
      <c r="M72" s="158" t="str">
        <f t="shared" si="3"/>
        <v xml:space="preserve"> </v>
      </c>
      <c r="N72" s="159"/>
      <c r="O72" s="158" t="str">
        <f t="shared" si="4"/>
        <v xml:space="preserve"> </v>
      </c>
      <c r="P72" s="160"/>
      <c r="R72" s="123" t="s">
        <v>393</v>
      </c>
      <c r="U72" s="75"/>
      <c r="V72" s="75"/>
      <c r="W72" s="126" t="str">
        <f>IF(Y72="","",COUNTA($Y$68:AB72))</f>
        <v/>
      </c>
      <c r="X72" s="122"/>
      <c r="Y72" s="167"/>
      <c r="Z72" s="168"/>
      <c r="AA72" s="168"/>
      <c r="AB72" s="169"/>
      <c r="AC72" s="121"/>
      <c r="AD72" s="139"/>
      <c r="AE72" s="142"/>
      <c r="AF72" s="143"/>
      <c r="AG72" s="143"/>
      <c r="AH72" s="143"/>
      <c r="AI72" s="142"/>
      <c r="AJ72" s="142"/>
    </row>
    <row r="73" spans="1:36" s="97" customFormat="1" ht="16.75" customHeight="1">
      <c r="A73" s="150" t="str">
        <f t="shared" si="0"/>
        <v/>
      </c>
      <c r="B73" s="151"/>
      <c r="C73" s="152"/>
      <c r="D73" s="153" t="str">
        <f t="shared" si="1"/>
        <v/>
      </c>
      <c r="E73" s="154"/>
      <c r="F73" s="154"/>
      <c r="G73" s="154"/>
      <c r="H73" s="154"/>
      <c r="I73" s="155"/>
      <c r="J73" s="156" t="str">
        <f t="shared" si="2"/>
        <v/>
      </c>
      <c r="K73" s="157"/>
      <c r="L73" s="111"/>
      <c r="M73" s="158" t="str">
        <f t="shared" si="3"/>
        <v xml:space="preserve"> </v>
      </c>
      <c r="N73" s="159"/>
      <c r="O73" s="158" t="str">
        <f t="shared" si="4"/>
        <v xml:space="preserve"> </v>
      </c>
      <c r="P73" s="160"/>
      <c r="R73" s="123" t="s">
        <v>393</v>
      </c>
      <c r="U73" s="75"/>
      <c r="V73" s="75"/>
      <c r="W73" s="126" t="str">
        <f>IF(Y73="","",COUNTA($Y$68:AB73))</f>
        <v/>
      </c>
      <c r="X73" s="122"/>
      <c r="Y73" s="167"/>
      <c r="Z73" s="168"/>
      <c r="AA73" s="168"/>
      <c r="AB73" s="169"/>
      <c r="AC73" s="121"/>
      <c r="AD73" s="139"/>
      <c r="AE73" s="142"/>
      <c r="AF73" s="143"/>
      <c r="AG73" s="143"/>
      <c r="AH73" s="143"/>
      <c r="AI73" s="142"/>
      <c r="AJ73" s="142"/>
    </row>
    <row r="74" spans="1:36" s="97" customFormat="1" ht="16.75" customHeight="1">
      <c r="A74" s="150" t="str">
        <f t="shared" si="0"/>
        <v/>
      </c>
      <c r="B74" s="151"/>
      <c r="C74" s="152"/>
      <c r="D74" s="153" t="str">
        <f t="shared" si="1"/>
        <v/>
      </c>
      <c r="E74" s="154"/>
      <c r="F74" s="154"/>
      <c r="G74" s="154"/>
      <c r="H74" s="154"/>
      <c r="I74" s="155"/>
      <c r="J74" s="156" t="str">
        <f t="shared" si="2"/>
        <v/>
      </c>
      <c r="K74" s="157"/>
      <c r="L74" s="111"/>
      <c r="M74" s="158" t="str">
        <f t="shared" si="3"/>
        <v xml:space="preserve"> </v>
      </c>
      <c r="N74" s="159"/>
      <c r="O74" s="158" t="str">
        <f t="shared" si="4"/>
        <v xml:space="preserve"> </v>
      </c>
      <c r="P74" s="160"/>
      <c r="R74" s="123" t="s">
        <v>393</v>
      </c>
      <c r="U74" s="75"/>
      <c r="V74" s="75"/>
      <c r="W74" s="126" t="str">
        <f>IF(Y74="","",COUNTA($Y$68:AB74))</f>
        <v/>
      </c>
      <c r="X74" s="122"/>
      <c r="Y74" s="167"/>
      <c r="Z74" s="168"/>
      <c r="AA74" s="168"/>
      <c r="AB74" s="169"/>
      <c r="AC74" s="121"/>
      <c r="AD74" s="139"/>
      <c r="AE74" s="142"/>
      <c r="AF74" s="143"/>
      <c r="AG74" s="143"/>
      <c r="AH74" s="143"/>
      <c r="AI74" s="142"/>
      <c r="AJ74" s="142"/>
    </row>
    <row r="75" spans="1:36" s="97" customFormat="1" ht="16.75" customHeight="1">
      <c r="A75" s="150" t="str">
        <f t="shared" si="0"/>
        <v/>
      </c>
      <c r="B75" s="151"/>
      <c r="C75" s="152"/>
      <c r="D75" s="153" t="str">
        <f t="shared" si="1"/>
        <v/>
      </c>
      <c r="E75" s="154"/>
      <c r="F75" s="154"/>
      <c r="G75" s="154"/>
      <c r="H75" s="154"/>
      <c r="I75" s="155"/>
      <c r="J75" s="156" t="str">
        <f t="shared" si="2"/>
        <v/>
      </c>
      <c r="K75" s="157"/>
      <c r="L75" s="136"/>
      <c r="M75" s="158" t="str">
        <f t="shared" si="3"/>
        <v xml:space="preserve"> </v>
      </c>
      <c r="N75" s="159"/>
      <c r="O75" s="158" t="str">
        <f t="shared" si="4"/>
        <v xml:space="preserve"> </v>
      </c>
      <c r="P75" s="160"/>
      <c r="R75" s="123" t="s">
        <v>393</v>
      </c>
      <c r="U75" s="75"/>
      <c r="V75" s="75"/>
      <c r="W75" s="126" t="str">
        <f>IF(Y75="","",COUNTA($Y$68:AB75))</f>
        <v/>
      </c>
      <c r="X75" s="122"/>
      <c r="Y75" s="167"/>
      <c r="Z75" s="168"/>
      <c r="AA75" s="168"/>
      <c r="AB75" s="169"/>
      <c r="AC75" s="121"/>
      <c r="AD75" s="75"/>
    </row>
    <row r="76" spans="1:36" s="97" customFormat="1" ht="16.75" customHeight="1">
      <c r="A76" s="150" t="str">
        <f t="shared" si="0"/>
        <v/>
      </c>
      <c r="B76" s="151"/>
      <c r="C76" s="152"/>
      <c r="D76" s="153" t="str">
        <f t="shared" si="1"/>
        <v/>
      </c>
      <c r="E76" s="154"/>
      <c r="F76" s="154"/>
      <c r="G76" s="154"/>
      <c r="H76" s="154"/>
      <c r="I76" s="155"/>
      <c r="J76" s="156" t="str">
        <f t="shared" si="2"/>
        <v/>
      </c>
      <c r="K76" s="157"/>
      <c r="L76" s="136"/>
      <c r="M76" s="158" t="str">
        <f t="shared" si="3"/>
        <v xml:space="preserve"> </v>
      </c>
      <c r="N76" s="159"/>
      <c r="O76" s="158" t="str">
        <f t="shared" si="4"/>
        <v xml:space="preserve"> </v>
      </c>
      <c r="P76" s="160"/>
      <c r="R76" s="123" t="s">
        <v>393</v>
      </c>
      <c r="U76" s="75"/>
      <c r="V76" s="75"/>
      <c r="W76" s="126" t="str">
        <f>IF(Y76="","",COUNTA($Y$68:AB76))</f>
        <v/>
      </c>
      <c r="X76" s="122"/>
      <c r="Y76" s="167"/>
      <c r="Z76" s="168"/>
      <c r="AA76" s="168"/>
      <c r="AB76" s="169"/>
      <c r="AC76" s="121"/>
      <c r="AD76" s="75"/>
    </row>
    <row r="77" spans="1:36" s="97" customFormat="1" ht="16.75" customHeight="1">
      <c r="A77" s="150" t="str">
        <f t="shared" si="0"/>
        <v/>
      </c>
      <c r="B77" s="151"/>
      <c r="C77" s="152"/>
      <c r="D77" s="153" t="str">
        <f t="shared" si="1"/>
        <v/>
      </c>
      <c r="E77" s="154"/>
      <c r="F77" s="154"/>
      <c r="G77" s="154"/>
      <c r="H77" s="154"/>
      <c r="I77" s="155"/>
      <c r="J77" s="156" t="str">
        <f t="shared" si="2"/>
        <v/>
      </c>
      <c r="K77" s="157"/>
      <c r="L77" s="136"/>
      <c r="M77" s="158" t="str">
        <f t="shared" si="3"/>
        <v xml:space="preserve"> </v>
      </c>
      <c r="N77" s="159"/>
      <c r="O77" s="158" t="str">
        <f t="shared" si="4"/>
        <v xml:space="preserve"> </v>
      </c>
      <c r="P77" s="160"/>
      <c r="R77" s="123" t="s">
        <v>393</v>
      </c>
      <c r="U77" s="75"/>
      <c r="V77" s="75"/>
      <c r="W77" s="126" t="str">
        <f>IF(Y77="","",COUNTA($Y$68:AB77))</f>
        <v/>
      </c>
      <c r="X77" s="122"/>
      <c r="Y77" s="167"/>
      <c r="Z77" s="168"/>
      <c r="AA77" s="168"/>
      <c r="AB77" s="169"/>
      <c r="AC77" s="121"/>
      <c r="AD77" s="75"/>
    </row>
    <row r="78" spans="1:36" s="97" customFormat="1" ht="16.75" customHeight="1" thickBot="1">
      <c r="A78" s="150" t="str">
        <f t="shared" si="0"/>
        <v/>
      </c>
      <c r="B78" s="151"/>
      <c r="C78" s="152"/>
      <c r="D78" s="153" t="str">
        <f t="shared" si="1"/>
        <v/>
      </c>
      <c r="E78" s="154"/>
      <c r="F78" s="154"/>
      <c r="G78" s="154"/>
      <c r="H78" s="154"/>
      <c r="I78" s="155"/>
      <c r="J78" s="156" t="str">
        <f t="shared" si="2"/>
        <v/>
      </c>
      <c r="K78" s="157"/>
      <c r="L78" s="137"/>
      <c r="M78" s="158" t="str">
        <f t="shared" si="3"/>
        <v xml:space="preserve"> </v>
      </c>
      <c r="N78" s="159"/>
      <c r="O78" s="158" t="str">
        <f t="shared" si="4"/>
        <v xml:space="preserve"> </v>
      </c>
      <c r="P78" s="160"/>
      <c r="R78" s="123" t="s">
        <v>393</v>
      </c>
      <c r="U78" s="75"/>
      <c r="V78" s="75"/>
      <c r="W78" s="126" t="str">
        <f>IF(Y78="","",COUNTA($Y$68:AB78))</f>
        <v/>
      </c>
      <c r="X78" s="122"/>
      <c r="Y78" s="167"/>
      <c r="Z78" s="168"/>
      <c r="AA78" s="168"/>
      <c r="AB78" s="169"/>
      <c r="AC78" s="121"/>
      <c r="AD78" s="75"/>
    </row>
    <row r="79" spans="1:36" ht="16.75" customHeight="1" thickTop="1">
      <c r="A79" s="95" t="s">
        <v>14</v>
      </c>
      <c r="B79" s="96"/>
      <c r="C79" s="96"/>
      <c r="D79" s="96"/>
      <c r="E79" s="96"/>
      <c r="F79" s="96"/>
      <c r="G79" s="96"/>
      <c r="H79" s="96"/>
      <c r="I79" s="96"/>
      <c r="J79" s="96"/>
      <c r="K79" s="96"/>
      <c r="L79" s="96"/>
      <c r="M79" s="147">
        <f>SUM(M69:N78)</f>
        <v>250</v>
      </c>
      <c r="N79" s="148"/>
      <c r="O79" s="147">
        <f>SUM(O69:P78)</f>
        <v>250</v>
      </c>
      <c r="P79" s="149"/>
      <c r="R79" s="123" t="s">
        <v>393</v>
      </c>
      <c r="U79" s="75"/>
      <c r="V79" s="75"/>
      <c r="W79" s="126" t="str">
        <f>IF(Y79="","",COUNTA($Y$68:AB79))</f>
        <v/>
      </c>
      <c r="X79" s="122"/>
      <c r="Y79" s="167"/>
      <c r="Z79" s="168"/>
      <c r="AA79" s="168"/>
      <c r="AB79" s="169"/>
      <c r="AC79" s="121"/>
      <c r="AD79" s="75"/>
    </row>
    <row r="80" spans="1:36" ht="13.5" customHeight="1">
      <c r="A80" s="4" t="s">
        <v>176</v>
      </c>
      <c r="B80" s="4"/>
      <c r="C80" s="4"/>
      <c r="D80" s="4"/>
      <c r="E80" s="4"/>
      <c r="R80" s="123" t="s">
        <v>393</v>
      </c>
      <c r="U80" s="75"/>
      <c r="V80" s="75"/>
      <c r="W80" s="126" t="str">
        <f>IF(Y80="","",COUNTA($Y$68:AB80))</f>
        <v/>
      </c>
      <c r="X80" s="122"/>
      <c r="Y80" s="167"/>
      <c r="Z80" s="168"/>
      <c r="AA80" s="168"/>
      <c r="AB80" s="169"/>
      <c r="AC80" s="121"/>
      <c r="AD80" s="75"/>
    </row>
    <row r="81" spans="1:30">
      <c r="A81" s="4" t="s">
        <v>177</v>
      </c>
      <c r="B81" s="4"/>
      <c r="C81" s="4"/>
      <c r="D81" s="4"/>
      <c r="E81" s="4"/>
      <c r="R81" s="123" t="s">
        <v>393</v>
      </c>
      <c r="U81" s="128"/>
      <c r="V81" s="128"/>
      <c r="W81" s="126" t="str">
        <f>IF(Y81="","",COUNTA($Y$68:AB81))</f>
        <v/>
      </c>
      <c r="X81" s="122"/>
      <c r="Y81" s="167"/>
      <c r="Z81" s="168"/>
      <c r="AA81" s="168"/>
      <c r="AB81" s="169"/>
      <c r="AC81" s="121"/>
      <c r="AD81" s="128"/>
    </row>
    <row r="82" spans="1:30">
      <c r="A82" s="4" t="s">
        <v>171</v>
      </c>
      <c r="B82" s="4"/>
      <c r="C82" s="4"/>
      <c r="D82" s="4"/>
      <c r="E82" s="4"/>
      <c r="U82" s="128"/>
      <c r="V82" s="128"/>
      <c r="W82" s="126" t="str">
        <f>IF(Y82="","",COUNTA($Y$68:AB82))</f>
        <v/>
      </c>
      <c r="X82" s="127"/>
      <c r="Y82" s="167"/>
      <c r="Z82" s="168"/>
      <c r="AA82" s="168"/>
      <c r="AB82" s="169"/>
      <c r="AC82" s="121"/>
      <c r="AD82" s="128"/>
    </row>
    <row r="83" spans="1:30">
      <c r="A83" s="4" t="s">
        <v>344</v>
      </c>
      <c r="B83" s="4"/>
      <c r="C83" s="4"/>
      <c r="D83" s="4"/>
      <c r="E83" s="4"/>
      <c r="U83" s="128"/>
      <c r="V83" s="128"/>
      <c r="W83" s="126" t="str">
        <f>IF(Y83="","",COUNTA($Y$68:AB83))</f>
        <v/>
      </c>
      <c r="X83" s="129"/>
      <c r="Y83" s="167"/>
      <c r="Z83" s="168"/>
      <c r="AA83" s="168"/>
      <c r="AB83" s="169"/>
      <c r="AC83" s="121"/>
      <c r="AD83" s="128"/>
    </row>
    <row r="84" spans="1:30">
      <c r="A84" s="4" t="s">
        <v>345</v>
      </c>
      <c r="B84" s="4"/>
      <c r="C84" s="4"/>
      <c r="D84" s="4"/>
      <c r="E84" s="4"/>
      <c r="U84" s="128"/>
      <c r="V84" s="128"/>
      <c r="W84" s="126" t="str">
        <f>IF(Y84="","",COUNTA($Y$68:AB84))</f>
        <v/>
      </c>
      <c r="X84" s="127"/>
      <c r="Y84" s="167"/>
      <c r="Z84" s="168"/>
      <c r="AA84" s="168"/>
      <c r="AB84" s="169"/>
      <c r="AC84" s="121"/>
      <c r="AD84" s="128"/>
    </row>
    <row r="85" spans="1:30">
      <c r="A85" s="3"/>
      <c r="B85" s="3"/>
      <c r="C85" s="3"/>
      <c r="D85" s="3"/>
      <c r="E85" s="3"/>
      <c r="U85" s="128"/>
      <c r="V85" s="128"/>
      <c r="W85" s="126" t="str">
        <f>IF(Y85="","",COUNTA($Y$68:AB85))</f>
        <v/>
      </c>
      <c r="X85" s="127"/>
      <c r="Y85" s="178"/>
      <c r="Z85" s="179"/>
      <c r="AA85" s="179"/>
      <c r="AB85" s="180"/>
      <c r="AC85" s="121"/>
      <c r="AD85" s="128"/>
    </row>
    <row r="86" spans="1:30">
      <c r="A86" s="3"/>
      <c r="B86" s="3"/>
      <c r="C86" s="3"/>
      <c r="D86" s="3"/>
      <c r="E86" s="3"/>
      <c r="U86" s="128"/>
      <c r="V86" s="128"/>
      <c r="W86" s="126" t="str">
        <f>IF(Y86="","",COUNTA($Y$68:AB86))</f>
        <v/>
      </c>
      <c r="X86" s="130"/>
      <c r="Y86" s="74"/>
      <c r="Z86" s="74"/>
      <c r="AA86" s="74"/>
      <c r="AB86" s="74"/>
      <c r="AC86" s="74"/>
      <c r="AD86" s="128"/>
    </row>
    <row r="87" spans="1:30">
      <c r="A87" s="4" t="s">
        <v>15</v>
      </c>
      <c r="B87" s="4"/>
      <c r="C87" s="4"/>
      <c r="D87" s="4"/>
      <c r="E87" s="4"/>
      <c r="U87" s="128"/>
      <c r="V87" s="128"/>
      <c r="W87" s="126" t="str">
        <f>IF(Y87="","",COUNTA($Y$68:AB87))</f>
        <v/>
      </c>
      <c r="X87" s="130"/>
      <c r="Y87" s="74"/>
      <c r="Z87" s="74"/>
      <c r="AA87" s="74"/>
      <c r="AB87" s="74"/>
      <c r="AC87" s="74"/>
      <c r="AD87" s="128"/>
    </row>
    <row r="88" spans="1:30">
      <c r="A88" s="4" t="s">
        <v>178</v>
      </c>
      <c r="B88" s="4"/>
      <c r="C88" s="4"/>
      <c r="D88" s="4"/>
      <c r="E88" s="4"/>
      <c r="U88" s="128"/>
      <c r="V88" s="128"/>
      <c r="W88" s="126" t="str">
        <f>IF(Y88="","",COUNTA($Y$68:AB88))</f>
        <v/>
      </c>
      <c r="X88" s="130"/>
      <c r="Y88" s="74"/>
      <c r="Z88" s="74"/>
      <c r="AA88" s="74"/>
      <c r="AB88" s="74"/>
      <c r="AC88" s="74"/>
      <c r="AD88" s="128"/>
    </row>
    <row r="89" spans="1:30">
      <c r="A89" s="4" t="s">
        <v>179</v>
      </c>
      <c r="B89" s="4"/>
      <c r="C89" s="4"/>
      <c r="D89" s="4"/>
      <c r="E89" s="4"/>
      <c r="U89" s="128"/>
      <c r="V89" s="128"/>
      <c r="W89" s="126" t="str">
        <f>IF(Y89="","",COUNTA($Y$68:AB89))</f>
        <v/>
      </c>
      <c r="X89" s="130"/>
      <c r="Y89" s="74"/>
      <c r="Z89" s="74"/>
      <c r="AA89" s="74"/>
      <c r="AB89" s="74"/>
      <c r="AC89" s="74"/>
      <c r="AD89" s="128"/>
    </row>
    <row r="90" spans="1:30">
      <c r="A90" s="4" t="s">
        <v>172</v>
      </c>
      <c r="B90" s="4"/>
      <c r="C90" s="4"/>
      <c r="D90" s="4"/>
      <c r="E90" s="4"/>
      <c r="U90" s="128"/>
      <c r="V90" s="128"/>
      <c r="W90" s="126" t="str">
        <f>IF(Y90="","",COUNTA($Y$68:AB90))</f>
        <v/>
      </c>
      <c r="X90" s="130"/>
      <c r="Y90" s="74"/>
      <c r="Z90" s="74"/>
      <c r="AA90" s="74"/>
      <c r="AB90" s="74"/>
      <c r="AC90" s="74"/>
      <c r="AD90" s="128"/>
    </row>
    <row r="91" spans="1:30">
      <c r="A91" s="4" t="s">
        <v>173</v>
      </c>
      <c r="B91" s="4"/>
      <c r="C91" s="4"/>
      <c r="D91" s="4"/>
      <c r="E91" s="4"/>
      <c r="U91" s="128"/>
      <c r="V91" s="128"/>
      <c r="W91" s="126" t="str">
        <f>IF(Y91="","",COUNTA($Y$68:AB91))</f>
        <v/>
      </c>
      <c r="X91" s="130"/>
      <c r="Y91" s="74"/>
      <c r="Z91" s="74"/>
      <c r="AA91" s="74"/>
      <c r="AB91" s="74"/>
      <c r="AC91" s="74"/>
      <c r="AD91" s="128"/>
    </row>
    <row r="92" spans="1:30">
      <c r="A92" s="4" t="s">
        <v>16</v>
      </c>
      <c r="B92" s="4"/>
      <c r="C92" s="4"/>
      <c r="D92" s="4"/>
      <c r="E92" s="4"/>
      <c r="U92" s="128"/>
      <c r="V92" s="128"/>
      <c r="W92" s="126" t="str">
        <f>IF(Y92="","",COUNTA($Y$68:AB92))</f>
        <v/>
      </c>
      <c r="X92" s="130"/>
      <c r="Y92" s="131"/>
      <c r="Z92" s="131"/>
      <c r="AA92" s="131"/>
      <c r="AB92" s="131"/>
      <c r="AC92" s="131"/>
      <c r="AD92" s="128"/>
    </row>
    <row r="93" spans="1:30" ht="13.5" thickBot="1">
      <c r="A93" s="3"/>
      <c r="B93" s="3"/>
      <c r="C93" s="3"/>
      <c r="D93" s="3"/>
      <c r="E93" s="3"/>
      <c r="U93" s="128"/>
      <c r="V93" s="128"/>
      <c r="W93" s="132"/>
      <c r="AD93" s="128"/>
    </row>
    <row r="94" spans="1:30">
      <c r="A94" s="3"/>
      <c r="B94" s="3"/>
      <c r="C94" s="3"/>
      <c r="D94" s="3"/>
      <c r="E94" s="3"/>
      <c r="U94" s="128"/>
      <c r="V94" s="128"/>
      <c r="AD94" s="128"/>
    </row>
    <row r="95" spans="1:30">
      <c r="A95" s="4" t="s">
        <v>17</v>
      </c>
      <c r="B95" s="4"/>
      <c r="C95" s="4"/>
      <c r="D95" s="4"/>
      <c r="E95" s="4"/>
      <c r="U95" s="128"/>
      <c r="V95" s="128"/>
      <c r="X95" t="s">
        <v>391</v>
      </c>
      <c r="AD95" s="128"/>
    </row>
    <row r="96" spans="1:30" ht="33">
      <c r="A96" s="4" t="s">
        <v>180</v>
      </c>
      <c r="B96" s="4"/>
      <c r="C96" s="4"/>
      <c r="D96" s="4"/>
      <c r="E96" s="4"/>
      <c r="U96" s="128"/>
      <c r="V96" s="128"/>
      <c r="X96" s="133" t="s">
        <v>7</v>
      </c>
      <c r="Y96" s="125" t="s">
        <v>138</v>
      </c>
      <c r="Z96" s="134" t="s">
        <v>8</v>
      </c>
      <c r="AA96" s="131" t="s">
        <v>392</v>
      </c>
      <c r="AB96" s="131"/>
      <c r="AD96" s="128"/>
    </row>
    <row r="97" spans="1:30">
      <c r="A97" s="4" t="s">
        <v>181</v>
      </c>
      <c r="B97" s="4"/>
      <c r="C97" s="4"/>
      <c r="D97" s="4"/>
      <c r="E97" s="4"/>
      <c r="U97" s="128"/>
      <c r="V97" s="128"/>
      <c r="W97">
        <v>1</v>
      </c>
      <c r="X97" s="131" t="str">
        <f>IFERROR(VLOOKUP(W97,$W$68:$AE$87,2,0),"")</f>
        <v>手すり</v>
      </c>
      <c r="Y97" s="131" t="str">
        <f>IFERROR(VLOOKUP(W97,$W$68:$AE$87,3,0),"")</f>
        <v>たよレールBZ-N02 マット付</v>
      </c>
      <c r="Z97" s="131">
        <f>IFERROR(VLOOKUP(W97,$W$68:$AE$87,7,0),"")</f>
        <v>2500</v>
      </c>
      <c r="AA97" s="131">
        <f>H70</f>
        <v>0</v>
      </c>
      <c r="AB97" s="131"/>
      <c r="AD97" s="128"/>
    </row>
    <row r="98" spans="1:30">
      <c r="A98" s="4" t="s">
        <v>182</v>
      </c>
      <c r="B98" s="4"/>
      <c r="C98" s="4"/>
      <c r="D98" s="4"/>
      <c r="E98" s="4"/>
      <c r="U98" s="128"/>
      <c r="V98" s="128"/>
      <c r="W98">
        <v>2</v>
      </c>
      <c r="X98" s="131" t="str">
        <f t="shared" ref="X98:X109" si="5">IFERROR(VLOOKUP(W98,$W$68:$AE$87,2,0),"")</f>
        <v/>
      </c>
      <c r="Y98" s="131" t="str">
        <f t="shared" ref="Y98:Y109" si="6">IFERROR(VLOOKUP(W98,$W$68:$AE$87,3,0),"")</f>
        <v/>
      </c>
      <c r="Z98" s="131" t="str">
        <f t="shared" ref="Z98:Z109" si="7">IFERROR(VLOOKUP(W98,$W$68:$AE$87,7,0),"")</f>
        <v/>
      </c>
      <c r="AA98" s="131">
        <f t="shared" ref="AA98:AA109" si="8">H71</f>
        <v>0</v>
      </c>
      <c r="AB98" s="131"/>
      <c r="AD98" s="128"/>
    </row>
    <row r="99" spans="1:30">
      <c r="A99" s="4" t="s">
        <v>109</v>
      </c>
      <c r="B99" s="4"/>
      <c r="C99" s="4"/>
      <c r="D99" s="4"/>
      <c r="E99" s="4"/>
      <c r="U99" s="128"/>
      <c r="V99" s="128"/>
      <c r="W99">
        <v>3</v>
      </c>
      <c r="X99" s="131" t="str">
        <f t="shared" si="5"/>
        <v/>
      </c>
      <c r="Y99" s="131" t="str">
        <f t="shared" si="6"/>
        <v/>
      </c>
      <c r="Z99" s="131" t="str">
        <f t="shared" si="7"/>
        <v/>
      </c>
      <c r="AA99" s="131">
        <f t="shared" si="8"/>
        <v>0</v>
      </c>
      <c r="AB99" s="131"/>
      <c r="AD99" s="128"/>
    </row>
    <row r="100" spans="1:30">
      <c r="A100" s="4" t="s">
        <v>183</v>
      </c>
      <c r="B100" s="4"/>
      <c r="C100" s="4"/>
      <c r="D100" s="4"/>
      <c r="E100" s="4"/>
      <c r="U100" s="128"/>
      <c r="V100" s="128"/>
      <c r="W100">
        <v>4</v>
      </c>
      <c r="X100" s="131" t="str">
        <f t="shared" si="5"/>
        <v/>
      </c>
      <c r="Y100" s="131" t="str">
        <f t="shared" si="6"/>
        <v/>
      </c>
      <c r="Z100" s="131" t="str">
        <f t="shared" si="7"/>
        <v/>
      </c>
      <c r="AA100" s="131">
        <f t="shared" si="8"/>
        <v>0</v>
      </c>
      <c r="AB100" s="131"/>
      <c r="AD100" s="128"/>
    </row>
    <row r="101" spans="1:30">
      <c r="A101" s="4" t="s">
        <v>184</v>
      </c>
      <c r="B101" s="4"/>
      <c r="C101" s="4"/>
      <c r="D101" s="4"/>
      <c r="E101" s="4"/>
      <c r="U101" s="128"/>
      <c r="V101" s="128"/>
      <c r="W101">
        <v>5</v>
      </c>
      <c r="X101" s="131" t="str">
        <f t="shared" si="5"/>
        <v/>
      </c>
      <c r="Y101" s="131" t="str">
        <f t="shared" si="6"/>
        <v/>
      </c>
      <c r="Z101" s="131" t="str">
        <f t="shared" si="7"/>
        <v/>
      </c>
      <c r="AA101" s="131">
        <f t="shared" si="8"/>
        <v>0</v>
      </c>
      <c r="AB101" s="131"/>
      <c r="AD101" s="128"/>
    </row>
    <row r="102" spans="1:30">
      <c r="A102" s="4"/>
      <c r="B102" s="4"/>
      <c r="C102" s="4"/>
      <c r="D102" s="4"/>
      <c r="E102" s="4"/>
      <c r="U102" s="128"/>
      <c r="V102" s="128"/>
      <c r="W102">
        <v>6</v>
      </c>
      <c r="X102" s="131" t="str">
        <f t="shared" si="5"/>
        <v/>
      </c>
      <c r="Y102" s="131" t="str">
        <f t="shared" si="6"/>
        <v/>
      </c>
      <c r="Z102" s="131" t="str">
        <f t="shared" si="7"/>
        <v/>
      </c>
      <c r="AA102" s="131">
        <f t="shared" si="8"/>
        <v>0</v>
      </c>
      <c r="AB102" s="131"/>
      <c r="AD102" s="128"/>
    </row>
    <row r="103" spans="1:30">
      <c r="A103" s="4"/>
      <c r="B103" s="4"/>
      <c r="C103" s="4"/>
      <c r="D103" s="4"/>
      <c r="E103" s="4"/>
      <c r="U103" s="128"/>
      <c r="V103" s="128"/>
      <c r="W103">
        <v>7</v>
      </c>
      <c r="X103" s="131" t="str">
        <f t="shared" si="5"/>
        <v/>
      </c>
      <c r="Y103" s="131" t="str">
        <f t="shared" si="6"/>
        <v/>
      </c>
      <c r="Z103" s="131" t="str">
        <f t="shared" si="7"/>
        <v/>
      </c>
      <c r="AA103" s="131">
        <f t="shared" si="8"/>
        <v>0</v>
      </c>
      <c r="AB103" s="131"/>
      <c r="AD103" s="128"/>
    </row>
    <row r="104" spans="1:30">
      <c r="A104" s="4" t="s">
        <v>18</v>
      </c>
      <c r="B104" s="4"/>
      <c r="C104" s="4"/>
      <c r="D104" s="4"/>
      <c r="E104" s="4"/>
      <c r="U104" s="135"/>
      <c r="V104" s="135"/>
      <c r="W104">
        <v>8</v>
      </c>
      <c r="X104" s="131" t="str">
        <f t="shared" si="5"/>
        <v/>
      </c>
      <c r="Y104" s="131" t="str">
        <f t="shared" si="6"/>
        <v/>
      </c>
      <c r="Z104" s="131" t="str">
        <f t="shared" si="7"/>
        <v/>
      </c>
      <c r="AA104" s="131">
        <f t="shared" si="8"/>
        <v>0</v>
      </c>
      <c r="AB104" s="131"/>
      <c r="AD104" s="135"/>
    </row>
    <row r="105" spans="1:30">
      <c r="A105" s="4" t="s">
        <v>253</v>
      </c>
      <c r="B105" s="4"/>
      <c r="C105" s="4"/>
      <c r="D105" s="4"/>
      <c r="E105" s="4"/>
      <c r="U105" s="135"/>
      <c r="V105" s="135"/>
      <c r="W105">
        <v>9</v>
      </c>
      <c r="X105" s="131" t="str">
        <f t="shared" si="5"/>
        <v/>
      </c>
      <c r="Y105" s="131" t="str">
        <f t="shared" si="6"/>
        <v/>
      </c>
      <c r="Z105" s="131" t="str">
        <f t="shared" si="7"/>
        <v/>
      </c>
      <c r="AA105" s="131">
        <f t="shared" si="8"/>
        <v>0</v>
      </c>
      <c r="AB105" s="131"/>
      <c r="AD105" s="135"/>
    </row>
    <row r="106" spans="1:30">
      <c r="A106" s="4" t="s">
        <v>254</v>
      </c>
      <c r="B106" s="4"/>
      <c r="C106" s="4"/>
      <c r="D106" s="4"/>
      <c r="E106" s="4"/>
      <c r="U106" s="135"/>
      <c r="V106" s="135"/>
      <c r="W106">
        <v>10</v>
      </c>
      <c r="X106" s="131" t="str">
        <f t="shared" si="5"/>
        <v/>
      </c>
      <c r="Y106" s="131" t="str">
        <f t="shared" si="6"/>
        <v/>
      </c>
      <c r="Z106" s="131" t="str">
        <f t="shared" si="7"/>
        <v/>
      </c>
      <c r="AA106" s="131">
        <f t="shared" si="8"/>
        <v>0</v>
      </c>
      <c r="AB106" s="131"/>
      <c r="AD106" s="135"/>
    </row>
    <row r="107" spans="1:30">
      <c r="A107" s="4" t="s">
        <v>214</v>
      </c>
      <c r="B107" s="4"/>
      <c r="C107" s="4"/>
      <c r="D107" s="4"/>
      <c r="E107" s="4"/>
      <c r="U107" s="135"/>
      <c r="V107" s="135"/>
      <c r="W107">
        <v>11</v>
      </c>
      <c r="X107" s="131" t="str">
        <f t="shared" si="5"/>
        <v/>
      </c>
      <c r="Y107" s="131" t="str">
        <f t="shared" si="6"/>
        <v/>
      </c>
      <c r="Z107" s="131" t="str">
        <f t="shared" si="7"/>
        <v/>
      </c>
      <c r="AA107" s="131">
        <f t="shared" si="8"/>
        <v>0</v>
      </c>
      <c r="AB107" s="131"/>
      <c r="AD107" s="135"/>
    </row>
    <row r="108" spans="1:30">
      <c r="A108" s="4" t="s">
        <v>215</v>
      </c>
      <c r="B108" s="4"/>
      <c r="C108" s="4"/>
      <c r="D108" s="4"/>
      <c r="E108" s="4"/>
      <c r="U108" s="135"/>
      <c r="V108" s="135"/>
      <c r="W108">
        <v>12</v>
      </c>
      <c r="X108" s="131" t="str">
        <f t="shared" si="5"/>
        <v/>
      </c>
      <c r="Y108" s="131" t="str">
        <f t="shared" si="6"/>
        <v/>
      </c>
      <c r="Z108" s="131" t="str">
        <f t="shared" si="7"/>
        <v/>
      </c>
      <c r="AA108" s="131">
        <f t="shared" si="8"/>
        <v>0</v>
      </c>
      <c r="AB108" s="131"/>
      <c r="AD108" s="135" t="s">
        <v>393</v>
      </c>
    </row>
    <row r="109" spans="1:30">
      <c r="A109" s="4" t="s">
        <v>216</v>
      </c>
      <c r="B109" s="4"/>
      <c r="C109" s="4"/>
      <c r="D109" s="4"/>
      <c r="E109" s="4"/>
      <c r="U109" s="135"/>
      <c r="V109" s="135"/>
      <c r="W109">
        <v>13</v>
      </c>
      <c r="X109" s="131" t="str">
        <f t="shared" si="5"/>
        <v/>
      </c>
      <c r="Y109" s="131" t="str">
        <f t="shared" si="6"/>
        <v/>
      </c>
      <c r="Z109" s="131" t="str">
        <f t="shared" si="7"/>
        <v/>
      </c>
      <c r="AA109" s="131">
        <f t="shared" si="8"/>
        <v>0</v>
      </c>
      <c r="AB109" s="131"/>
      <c r="AD109" s="135" t="s">
        <v>394</v>
      </c>
    </row>
    <row r="110" spans="1:30">
      <c r="A110" s="4" t="s">
        <v>19</v>
      </c>
      <c r="B110" s="4"/>
      <c r="C110" s="4"/>
      <c r="D110" s="4"/>
      <c r="E110" s="4"/>
    </row>
    <row r="111" spans="1:30">
      <c r="A111" s="4" t="s">
        <v>112</v>
      </c>
      <c r="B111" s="4"/>
      <c r="C111" s="4"/>
      <c r="D111" s="4"/>
      <c r="E111" s="4"/>
    </row>
    <row r="112" spans="1:30">
      <c r="A112" s="4" t="s">
        <v>113</v>
      </c>
      <c r="B112" s="4"/>
      <c r="C112" s="4"/>
      <c r="D112" s="4"/>
      <c r="E112" s="4"/>
    </row>
    <row r="113" spans="1:5">
      <c r="A113" s="4" t="s">
        <v>114</v>
      </c>
      <c r="B113" s="4"/>
      <c r="C113" s="4"/>
      <c r="D113" s="4"/>
      <c r="E113" s="4"/>
    </row>
    <row r="114" spans="1:5">
      <c r="A114" s="4" t="s">
        <v>115</v>
      </c>
      <c r="B114" s="4"/>
      <c r="C114" s="4"/>
      <c r="D114" s="4"/>
      <c r="E114" s="4"/>
    </row>
    <row r="115" spans="1:5">
      <c r="A115" s="4" t="s">
        <v>20</v>
      </c>
      <c r="B115" s="4"/>
      <c r="C115" s="4"/>
      <c r="D115" s="4"/>
      <c r="E115" s="4"/>
    </row>
    <row r="116" spans="1:5">
      <c r="A116" s="4" t="s">
        <v>217</v>
      </c>
      <c r="B116" s="4"/>
      <c r="C116" s="4"/>
      <c r="D116" s="4"/>
      <c r="E116" s="4"/>
    </row>
    <row r="117" spans="1:5">
      <c r="A117" s="4" t="s">
        <v>218</v>
      </c>
      <c r="B117" s="4"/>
      <c r="C117" s="4"/>
      <c r="D117" s="4"/>
      <c r="E117" s="4"/>
    </row>
    <row r="118" spans="1:5">
      <c r="A118" s="4" t="s">
        <v>219</v>
      </c>
      <c r="B118" s="4"/>
      <c r="C118" s="4"/>
      <c r="D118" s="4"/>
      <c r="E118" s="4"/>
    </row>
    <row r="119" spans="1:5">
      <c r="A119" s="4" t="s">
        <v>220</v>
      </c>
      <c r="B119" s="4"/>
      <c r="C119" s="4"/>
      <c r="D119" s="4"/>
      <c r="E119" s="4"/>
    </row>
    <row r="120" spans="1:5">
      <c r="A120" s="4" t="s">
        <v>21</v>
      </c>
      <c r="B120" s="4"/>
      <c r="C120" s="4"/>
      <c r="D120" s="4"/>
      <c r="E120" s="4"/>
    </row>
    <row r="121" spans="1:5">
      <c r="A121" s="4" t="s">
        <v>116</v>
      </c>
      <c r="B121" s="4"/>
      <c r="C121" s="4"/>
      <c r="D121" s="4"/>
      <c r="E121" s="4"/>
    </row>
    <row r="122" spans="1:5">
      <c r="A122" s="4" t="s">
        <v>174</v>
      </c>
      <c r="B122" s="4"/>
      <c r="C122" s="4"/>
      <c r="D122" s="4"/>
      <c r="E122" s="4"/>
    </row>
    <row r="123" spans="1:5">
      <c r="A123" s="4" t="s">
        <v>175</v>
      </c>
      <c r="B123" s="4"/>
      <c r="C123" s="4"/>
      <c r="D123" s="4"/>
      <c r="E123" s="4"/>
    </row>
    <row r="124" spans="1:5">
      <c r="A124" s="4" t="s">
        <v>117</v>
      </c>
      <c r="B124" s="4"/>
      <c r="C124" s="4"/>
      <c r="D124" s="4"/>
      <c r="E124" s="4"/>
    </row>
    <row r="125" spans="1:5">
      <c r="A125" s="4" t="s">
        <v>118</v>
      </c>
      <c r="B125" s="4"/>
      <c r="C125" s="4"/>
      <c r="D125" s="4"/>
      <c r="E125" s="4"/>
    </row>
    <row r="126" spans="1:5">
      <c r="A126" s="4"/>
      <c r="B126" s="4"/>
      <c r="C126" s="4"/>
      <c r="D126" s="4"/>
      <c r="E126" s="4"/>
    </row>
    <row r="127" spans="1:5">
      <c r="A127" s="4"/>
      <c r="B127" s="4"/>
      <c r="C127" s="4"/>
      <c r="D127" s="4"/>
      <c r="E127" s="4"/>
    </row>
    <row r="128" spans="1:5">
      <c r="A128" s="4" t="s">
        <v>22</v>
      </c>
      <c r="B128" s="4"/>
      <c r="C128" s="4"/>
      <c r="D128" s="4"/>
      <c r="E128" s="4"/>
    </row>
    <row r="129" spans="1:5">
      <c r="A129" s="4" t="s">
        <v>185</v>
      </c>
      <c r="B129" s="4"/>
      <c r="C129" s="4"/>
      <c r="D129" s="4"/>
      <c r="E129" s="4"/>
    </row>
    <row r="130" spans="1:5">
      <c r="A130" s="4" t="s">
        <v>186</v>
      </c>
      <c r="B130" s="4"/>
      <c r="C130" s="4"/>
      <c r="D130" s="4"/>
      <c r="E130" s="4"/>
    </row>
    <row r="131" spans="1:5">
      <c r="A131" s="4" t="s">
        <v>187</v>
      </c>
      <c r="B131" s="4"/>
      <c r="C131" s="4"/>
      <c r="D131" s="4"/>
      <c r="E131" s="4"/>
    </row>
    <row r="132" spans="1:5">
      <c r="A132" s="4" t="s">
        <v>119</v>
      </c>
      <c r="B132" s="4"/>
      <c r="C132" s="4"/>
      <c r="D132" s="4"/>
      <c r="E132" s="4"/>
    </row>
    <row r="133" spans="1:5">
      <c r="A133" s="4" t="s">
        <v>221</v>
      </c>
      <c r="B133" s="4"/>
      <c r="C133" s="4"/>
      <c r="D133" s="4"/>
      <c r="E133" s="4"/>
    </row>
    <row r="134" spans="1:5">
      <c r="A134" s="4" t="s">
        <v>222</v>
      </c>
      <c r="B134" s="4"/>
      <c r="C134" s="4"/>
      <c r="D134" s="4"/>
      <c r="E134" s="4"/>
    </row>
    <row r="135" spans="1:5">
      <c r="A135" s="4"/>
      <c r="B135" s="4"/>
      <c r="C135" s="4"/>
      <c r="D135" s="4"/>
      <c r="E135" s="4"/>
    </row>
    <row r="136" spans="1:5">
      <c r="A136" s="4" t="s">
        <v>23</v>
      </c>
      <c r="B136" s="4"/>
      <c r="C136" s="4"/>
      <c r="D136" s="4"/>
      <c r="E136" s="4"/>
    </row>
    <row r="137" spans="1:5">
      <c r="A137" s="4" t="s">
        <v>223</v>
      </c>
      <c r="B137" s="4"/>
      <c r="C137" s="4"/>
      <c r="D137" s="4"/>
      <c r="E137" s="4"/>
    </row>
    <row r="138" spans="1:5">
      <c r="A138" s="4" t="s">
        <v>224</v>
      </c>
      <c r="B138" s="4"/>
      <c r="C138" s="4"/>
      <c r="D138" s="4"/>
      <c r="E138" s="4"/>
    </row>
    <row r="139" spans="1:5">
      <c r="A139" s="4" t="s">
        <v>225</v>
      </c>
      <c r="B139" s="4"/>
      <c r="C139" s="4"/>
      <c r="D139" s="4"/>
      <c r="E139" s="4"/>
    </row>
    <row r="140" spans="1:5">
      <c r="A140" s="4" t="s">
        <v>188</v>
      </c>
      <c r="B140" s="4"/>
      <c r="C140" s="4"/>
      <c r="D140" s="4"/>
      <c r="E140" s="4"/>
    </row>
    <row r="141" spans="1:5">
      <c r="A141" s="4" t="s">
        <v>189</v>
      </c>
      <c r="B141" s="4"/>
      <c r="C141" s="4"/>
      <c r="D141" s="4"/>
      <c r="E141" s="4"/>
    </row>
    <row r="142" spans="1:5">
      <c r="A142" s="3"/>
      <c r="B142" s="3"/>
      <c r="C142" s="3"/>
      <c r="D142" s="3"/>
      <c r="E142" s="3"/>
    </row>
    <row r="143" spans="1:5">
      <c r="A143" s="3"/>
      <c r="B143" s="3"/>
      <c r="C143" s="3"/>
      <c r="D143" s="3"/>
      <c r="E143" s="3"/>
    </row>
    <row r="144" spans="1:5">
      <c r="A144" s="4" t="s">
        <v>24</v>
      </c>
      <c r="B144" s="4"/>
      <c r="C144" s="4"/>
      <c r="D144" s="4"/>
      <c r="E144" s="4"/>
    </row>
    <row r="145" spans="1:5">
      <c r="A145" s="4" t="s">
        <v>273</v>
      </c>
      <c r="B145" s="4"/>
      <c r="C145" s="4"/>
      <c r="D145" s="4"/>
      <c r="E145" s="4"/>
    </row>
    <row r="146" spans="1:5">
      <c r="A146" s="4" t="s">
        <v>399</v>
      </c>
      <c r="B146" s="4"/>
      <c r="C146" s="4"/>
      <c r="D146" s="4"/>
      <c r="E146" s="4"/>
    </row>
    <row r="147" spans="1:5">
      <c r="A147" s="4" t="s">
        <v>400</v>
      </c>
      <c r="B147" s="4"/>
      <c r="C147" s="4"/>
      <c r="D147" s="4"/>
      <c r="E147" s="4"/>
    </row>
    <row r="148" spans="1:5">
      <c r="A148" s="4" t="s">
        <v>401</v>
      </c>
      <c r="B148" s="4"/>
      <c r="C148" s="4"/>
      <c r="D148" s="4"/>
      <c r="E148" s="4"/>
    </row>
    <row r="149" spans="1:5">
      <c r="A149" s="4"/>
      <c r="B149" s="4"/>
      <c r="C149" s="4"/>
      <c r="D149" s="4"/>
      <c r="E149" s="4"/>
    </row>
    <row r="150" spans="1:5">
      <c r="A150" s="4"/>
      <c r="B150" s="4"/>
      <c r="C150" s="4"/>
      <c r="D150" s="4"/>
      <c r="E150" s="4"/>
    </row>
    <row r="151" spans="1:5">
      <c r="A151" s="4" t="s">
        <v>25</v>
      </c>
      <c r="B151" s="4"/>
      <c r="C151" s="4"/>
      <c r="D151" s="4"/>
      <c r="E151" s="4"/>
    </row>
    <row r="152" spans="1:5">
      <c r="A152" s="4" t="s">
        <v>274</v>
      </c>
      <c r="B152" s="4"/>
      <c r="C152" s="4"/>
      <c r="D152" s="4"/>
      <c r="E152" s="4"/>
    </row>
    <row r="153" spans="1:5">
      <c r="A153" s="4" t="s">
        <v>275</v>
      </c>
      <c r="B153" s="4"/>
      <c r="C153" s="4"/>
      <c r="D153" s="4"/>
      <c r="E153" s="4"/>
    </row>
    <row r="154" spans="1:5">
      <c r="A154" s="4" t="s">
        <v>276</v>
      </c>
      <c r="B154" s="4"/>
      <c r="C154" s="4"/>
      <c r="D154" s="4"/>
      <c r="E154" s="4"/>
    </row>
    <row r="155" spans="1:5">
      <c r="A155" s="4" t="s">
        <v>277</v>
      </c>
      <c r="B155" s="4"/>
      <c r="C155" s="4"/>
      <c r="D155" s="4"/>
      <c r="E155" s="4"/>
    </row>
    <row r="156" spans="1:5">
      <c r="A156" s="4" t="s">
        <v>190</v>
      </c>
      <c r="B156" s="4"/>
      <c r="C156" s="4"/>
      <c r="D156" s="4"/>
      <c r="E156" s="4"/>
    </row>
    <row r="157" spans="1:5">
      <c r="A157" s="4" t="s">
        <v>191</v>
      </c>
      <c r="B157" s="4"/>
      <c r="C157" s="4"/>
      <c r="D157" s="4"/>
      <c r="E157" s="4"/>
    </row>
    <row r="158" spans="1:5">
      <c r="A158" s="4" t="s">
        <v>192</v>
      </c>
      <c r="B158" s="4"/>
      <c r="C158" s="4"/>
      <c r="D158" s="4"/>
      <c r="E158" s="4"/>
    </row>
    <row r="159" spans="1:5">
      <c r="A159" s="4" t="s">
        <v>193</v>
      </c>
      <c r="B159" s="4"/>
      <c r="C159" s="4"/>
      <c r="D159" s="4"/>
      <c r="E159" s="4"/>
    </row>
    <row r="160" spans="1:5">
      <c r="A160" s="4" t="s">
        <v>194</v>
      </c>
      <c r="B160" s="4"/>
      <c r="C160" s="4"/>
      <c r="D160" s="4"/>
      <c r="E160" s="4"/>
    </row>
    <row r="161" spans="1:5">
      <c r="A161" s="4" t="s">
        <v>195</v>
      </c>
      <c r="B161" s="4"/>
      <c r="C161" s="4"/>
      <c r="D161" s="4"/>
      <c r="E161" s="4"/>
    </row>
    <row r="162" spans="1:5">
      <c r="A162" s="4"/>
      <c r="B162" s="4"/>
      <c r="C162" s="4"/>
      <c r="D162" s="4"/>
      <c r="E162" s="4"/>
    </row>
    <row r="163" spans="1:5" s="105" customFormat="1">
      <c r="A163" s="104" t="s">
        <v>323</v>
      </c>
      <c r="B163" s="104"/>
      <c r="C163" s="104"/>
      <c r="D163" s="104"/>
      <c r="E163" s="104"/>
    </row>
    <row r="164" spans="1:5" s="105" customFormat="1">
      <c r="A164" s="104" t="s">
        <v>326</v>
      </c>
      <c r="B164" s="104"/>
      <c r="C164" s="104"/>
      <c r="D164" s="104"/>
      <c r="E164" s="104"/>
    </row>
    <row r="165" spans="1:5" s="105" customFormat="1">
      <c r="A165" s="104" t="s">
        <v>327</v>
      </c>
      <c r="B165" s="104"/>
      <c r="C165" s="104"/>
      <c r="D165" s="104"/>
      <c r="E165" s="104"/>
    </row>
    <row r="166" spans="1:5" s="105" customFormat="1">
      <c r="A166" s="104" t="s">
        <v>287</v>
      </c>
      <c r="B166" s="104"/>
      <c r="C166" s="104"/>
      <c r="D166" s="104"/>
      <c r="E166" s="104"/>
    </row>
    <row r="167" spans="1:5" s="105" customFormat="1">
      <c r="A167" s="104" t="s">
        <v>288</v>
      </c>
      <c r="B167" s="104"/>
      <c r="C167" s="104"/>
      <c r="D167" s="104"/>
      <c r="E167" s="104"/>
    </row>
    <row r="168" spans="1:5" s="105" customFormat="1">
      <c r="A168" s="104" t="s">
        <v>289</v>
      </c>
      <c r="B168" s="104"/>
      <c r="C168" s="104"/>
      <c r="D168" s="104"/>
      <c r="E168" s="104"/>
    </row>
    <row r="169" spans="1:5">
      <c r="A169" s="4"/>
      <c r="B169" s="4"/>
      <c r="C169" s="4"/>
      <c r="D169" s="4"/>
      <c r="E169" s="4"/>
    </row>
    <row r="170" spans="1:5">
      <c r="A170" s="4"/>
      <c r="B170" s="4"/>
      <c r="C170" s="4"/>
      <c r="D170" s="4"/>
      <c r="E170" s="4"/>
    </row>
    <row r="171" spans="1:5">
      <c r="A171" s="4" t="s">
        <v>290</v>
      </c>
      <c r="B171" s="4"/>
      <c r="C171" s="4"/>
      <c r="D171" s="4"/>
      <c r="E171" s="4"/>
    </row>
    <row r="172" spans="1:5">
      <c r="A172" s="4" t="s">
        <v>196</v>
      </c>
      <c r="B172" s="4"/>
      <c r="C172" s="4"/>
      <c r="D172" s="4"/>
      <c r="E172" s="4"/>
    </row>
    <row r="173" spans="1:5">
      <c r="A173" s="4" t="s">
        <v>278</v>
      </c>
      <c r="B173" s="4"/>
      <c r="C173" s="4"/>
      <c r="D173" s="4"/>
      <c r="E173" s="4"/>
    </row>
    <row r="174" spans="1:5">
      <c r="A174" s="4" t="s">
        <v>197</v>
      </c>
      <c r="B174" s="4"/>
      <c r="C174" s="4"/>
      <c r="D174" s="4"/>
      <c r="E174" s="4"/>
    </row>
    <row r="175" spans="1:5">
      <c r="A175" s="4"/>
      <c r="B175" s="4"/>
      <c r="C175" s="4"/>
      <c r="D175" s="4"/>
      <c r="E175" s="4"/>
    </row>
    <row r="176" spans="1:5">
      <c r="A176" s="4"/>
      <c r="B176" s="4"/>
      <c r="C176" s="4"/>
      <c r="D176" s="4"/>
      <c r="E176" s="4"/>
    </row>
    <row r="177" spans="1:5">
      <c r="A177" s="4" t="s">
        <v>291</v>
      </c>
      <c r="B177" s="4"/>
      <c r="C177" s="4"/>
      <c r="D177" s="4"/>
      <c r="E177" s="4"/>
    </row>
    <row r="178" spans="1:5">
      <c r="A178" s="4" t="s">
        <v>198</v>
      </c>
      <c r="B178" s="4"/>
      <c r="C178" s="4"/>
      <c r="D178" s="4"/>
      <c r="E178" s="4"/>
    </row>
    <row r="179" spans="1:5">
      <c r="A179" s="4" t="s">
        <v>199</v>
      </c>
      <c r="B179" s="4"/>
      <c r="C179" s="4"/>
      <c r="D179" s="4"/>
      <c r="E179" s="4"/>
    </row>
    <row r="180" spans="1:5">
      <c r="A180" s="4"/>
      <c r="B180" s="4"/>
      <c r="C180" s="4"/>
      <c r="D180" s="4"/>
      <c r="E180" s="4"/>
    </row>
    <row r="181" spans="1:5">
      <c r="A181" s="4"/>
      <c r="B181" s="4"/>
      <c r="C181" s="4"/>
      <c r="D181" s="4"/>
      <c r="E181" s="4"/>
    </row>
    <row r="182" spans="1:5">
      <c r="A182" s="4" t="s">
        <v>292</v>
      </c>
      <c r="B182" s="4"/>
      <c r="C182" s="4"/>
      <c r="D182" s="4"/>
      <c r="E182" s="4"/>
    </row>
    <row r="183" spans="1:5">
      <c r="A183" s="4" t="s">
        <v>200</v>
      </c>
      <c r="B183" s="4"/>
      <c r="C183" s="4"/>
      <c r="D183" s="4"/>
      <c r="E183" s="4"/>
    </row>
    <row r="184" spans="1:5">
      <c r="A184" s="4" t="s">
        <v>201</v>
      </c>
      <c r="B184" s="4"/>
      <c r="C184" s="4"/>
      <c r="D184" s="4"/>
      <c r="E184" s="4"/>
    </row>
    <row r="185" spans="1:5">
      <c r="A185" s="4" t="s">
        <v>202</v>
      </c>
      <c r="B185" s="4"/>
      <c r="C185" s="4"/>
      <c r="D185" s="4"/>
      <c r="E185" s="4"/>
    </row>
    <row r="186" spans="1:5">
      <c r="A186" s="4" t="s">
        <v>203</v>
      </c>
      <c r="B186" s="4"/>
      <c r="C186" s="4"/>
      <c r="D186" s="4"/>
      <c r="E186" s="4"/>
    </row>
    <row r="187" spans="1:5">
      <c r="A187" s="4" t="s">
        <v>204</v>
      </c>
      <c r="B187" s="4"/>
      <c r="C187" s="4"/>
      <c r="D187" s="4"/>
      <c r="E187" s="4"/>
    </row>
    <row r="188" spans="1:5">
      <c r="A188" s="4"/>
      <c r="B188" s="4"/>
      <c r="C188" s="4"/>
      <c r="D188" s="4"/>
      <c r="E188" s="4"/>
    </row>
    <row r="189" spans="1:5">
      <c r="A189" s="4"/>
      <c r="B189" s="4"/>
      <c r="C189" s="4"/>
      <c r="D189" s="4"/>
      <c r="E189" s="4"/>
    </row>
    <row r="190" spans="1:5">
      <c r="A190" s="4" t="s">
        <v>293</v>
      </c>
      <c r="B190" s="4"/>
      <c r="C190" s="4"/>
      <c r="D190" s="4"/>
      <c r="E190" s="4"/>
    </row>
    <row r="191" spans="1:5">
      <c r="A191" s="4" t="s">
        <v>205</v>
      </c>
      <c r="B191" s="4"/>
      <c r="C191" s="4"/>
      <c r="D191" s="4"/>
      <c r="E191" s="4"/>
    </row>
    <row r="192" spans="1:5">
      <c r="A192" s="4" t="s">
        <v>206</v>
      </c>
      <c r="B192" s="4"/>
      <c r="C192" s="4"/>
      <c r="D192" s="4"/>
      <c r="E192" s="4"/>
    </row>
    <row r="193" spans="1:5">
      <c r="A193" s="4" t="s">
        <v>207</v>
      </c>
      <c r="B193" s="4"/>
      <c r="C193" s="4"/>
      <c r="D193" s="4"/>
      <c r="E193" s="4"/>
    </row>
    <row r="194" spans="1:5">
      <c r="A194" s="4" t="s">
        <v>208</v>
      </c>
      <c r="B194" s="4"/>
      <c r="C194" s="4"/>
      <c r="D194" s="4"/>
      <c r="E194" s="4"/>
    </row>
    <row r="195" spans="1:5">
      <c r="A195" s="4" t="s">
        <v>120</v>
      </c>
      <c r="B195" s="4"/>
      <c r="C195" s="4"/>
      <c r="D195" s="4"/>
      <c r="E195" s="4"/>
    </row>
    <row r="196" spans="1:5">
      <c r="A196" s="4"/>
      <c r="B196" s="4"/>
      <c r="C196" s="4"/>
      <c r="D196" s="4"/>
      <c r="E196" s="4"/>
    </row>
    <row r="197" spans="1:5">
      <c r="A197" s="4"/>
      <c r="B197" s="4"/>
      <c r="C197" s="4"/>
      <c r="D197" s="4"/>
      <c r="E197" s="4"/>
    </row>
    <row r="198" spans="1:5">
      <c r="A198" s="4" t="s">
        <v>294</v>
      </c>
      <c r="B198" s="4"/>
      <c r="C198" s="4"/>
      <c r="D198" s="4"/>
      <c r="E198" s="4"/>
    </row>
    <row r="199" spans="1:5">
      <c r="A199" s="4" t="s">
        <v>279</v>
      </c>
      <c r="B199" s="4"/>
      <c r="C199" s="4"/>
      <c r="D199" s="4"/>
      <c r="E199" s="4"/>
    </row>
    <row r="200" spans="1:5">
      <c r="A200" s="4" t="s">
        <v>209</v>
      </c>
      <c r="B200" s="4"/>
      <c r="C200" s="4"/>
      <c r="D200" s="4"/>
      <c r="E200" s="4"/>
    </row>
    <row r="201" spans="1:5">
      <c r="A201" s="4" t="s">
        <v>210</v>
      </c>
      <c r="B201" s="4"/>
      <c r="C201" s="4"/>
      <c r="D201" s="4"/>
      <c r="E201" s="4"/>
    </row>
    <row r="202" spans="1:5">
      <c r="A202" s="4"/>
      <c r="B202" s="4"/>
      <c r="C202" s="4"/>
      <c r="D202" s="4"/>
      <c r="E202" s="4"/>
    </row>
    <row r="203" spans="1:5">
      <c r="A203" s="4"/>
      <c r="B203" s="4"/>
      <c r="C203" s="4"/>
      <c r="D203" s="4"/>
      <c r="E203" s="4"/>
    </row>
    <row r="204" spans="1:5">
      <c r="A204" s="4" t="s">
        <v>26</v>
      </c>
      <c r="B204" s="4"/>
      <c r="C204" s="4"/>
      <c r="D204" s="4"/>
      <c r="E204" s="4"/>
    </row>
    <row r="205" spans="1:5">
      <c r="A205" s="4" t="s">
        <v>211</v>
      </c>
      <c r="B205" s="4"/>
      <c r="C205" s="4"/>
      <c r="D205" s="4"/>
      <c r="E205" s="4"/>
    </row>
    <row r="206" spans="1:5">
      <c r="A206" s="4" t="s">
        <v>212</v>
      </c>
      <c r="B206" s="4"/>
      <c r="C206" s="4"/>
      <c r="D206" s="4"/>
      <c r="E206" s="4"/>
    </row>
    <row r="207" spans="1:5">
      <c r="A207" s="4" t="s">
        <v>213</v>
      </c>
      <c r="B207" s="4"/>
      <c r="C207" s="4"/>
      <c r="D207" s="4"/>
      <c r="E207" s="4"/>
    </row>
    <row r="208" spans="1:5">
      <c r="A208" s="4"/>
      <c r="B208" s="4"/>
      <c r="C208" s="4"/>
      <c r="D208" s="4"/>
      <c r="E208" s="4"/>
    </row>
    <row r="209" spans="1:10">
      <c r="A209" s="4"/>
      <c r="B209" s="4"/>
      <c r="C209" s="4"/>
      <c r="D209" s="4"/>
      <c r="E209" s="4"/>
    </row>
    <row r="210" spans="1:10">
      <c r="A210" s="4"/>
      <c r="B210" s="4"/>
      <c r="C210" s="4"/>
      <c r="D210" s="4"/>
      <c r="E210" s="4"/>
    </row>
    <row r="211" spans="1:10">
      <c r="A211" s="4"/>
      <c r="B211" s="4"/>
      <c r="C211" s="4"/>
      <c r="D211" s="4"/>
      <c r="E211" s="4"/>
    </row>
    <row r="212" spans="1:10">
      <c r="A212" s="4" t="s">
        <v>331</v>
      </c>
      <c r="B212" s="4"/>
      <c r="C212" s="4"/>
      <c r="D212" s="4"/>
      <c r="E212" s="4"/>
    </row>
    <row r="213" spans="1:10">
      <c r="A213" s="4" t="s">
        <v>332</v>
      </c>
      <c r="B213" s="4"/>
      <c r="C213" s="4"/>
      <c r="D213" s="4"/>
      <c r="E213" s="4"/>
    </row>
    <row r="214" spans="1:10">
      <c r="A214" s="4" t="s">
        <v>333</v>
      </c>
      <c r="B214" s="4"/>
      <c r="C214" s="4"/>
      <c r="D214" s="4"/>
      <c r="E214" s="4"/>
    </row>
    <row r="215" spans="1:10">
      <c r="A215" s="4"/>
      <c r="B215" s="4"/>
      <c r="C215" s="4"/>
      <c r="D215" s="4"/>
      <c r="E215" s="4"/>
    </row>
    <row r="216" spans="1:10">
      <c r="A216" s="4"/>
      <c r="B216" s="4"/>
      <c r="C216" s="4"/>
      <c r="D216" s="4"/>
      <c r="E216" s="4"/>
    </row>
    <row r="217" spans="1:10">
      <c r="A217" s="4"/>
      <c r="B217" s="4"/>
      <c r="C217" s="4"/>
      <c r="D217" s="4"/>
      <c r="E217" s="4"/>
    </row>
    <row r="218" spans="1:10">
      <c r="A218" s="4"/>
      <c r="B218" s="4"/>
      <c r="C218" s="4"/>
      <c r="D218" s="4"/>
      <c r="E218" s="4"/>
    </row>
    <row r="219" spans="1:10">
      <c r="A219" s="176" t="s">
        <v>396</v>
      </c>
      <c r="B219" s="176"/>
      <c r="C219" s="138" t="str">
        <f>S3</f>
        <v>令和</v>
      </c>
      <c r="D219" s="4">
        <f>+S2</f>
        <v>6</v>
      </c>
      <c r="E219" s="4" t="s">
        <v>379</v>
      </c>
      <c r="F219" s="118" t="str">
        <f>+U2&amp;"   "</f>
        <v xml:space="preserve">3   </v>
      </c>
      <c r="G219" t="s">
        <v>377</v>
      </c>
      <c r="I219" t="str">
        <f>+W2&amp;"    "</f>
        <v xml:space="preserve">13    </v>
      </c>
      <c r="J219" t="s">
        <v>378</v>
      </c>
    </row>
    <row r="220" spans="1:10">
      <c r="A220" s="4" t="s">
        <v>27</v>
      </c>
      <c r="B220" s="4"/>
      <c r="C220" s="4"/>
      <c r="D220" s="4"/>
      <c r="E220" s="4"/>
    </row>
    <row r="221" spans="1:10">
      <c r="A221" s="4" t="s">
        <v>28</v>
      </c>
      <c r="B221" s="4"/>
      <c r="C221" s="4"/>
      <c r="D221" s="4"/>
      <c r="E221" s="4"/>
    </row>
    <row r="222" spans="1:10">
      <c r="A222" s="4" t="s">
        <v>121</v>
      </c>
      <c r="B222" s="4"/>
      <c r="C222" s="90"/>
      <c r="D222" s="90"/>
      <c r="E222" s="90"/>
      <c r="F222" s="91"/>
      <c r="G222" s="91"/>
      <c r="H222" s="91"/>
      <c r="I222" s="91"/>
    </row>
    <row r="223" spans="1:10">
      <c r="A223" s="4"/>
      <c r="B223" s="4"/>
      <c r="C223" s="4"/>
      <c r="D223" s="4"/>
      <c r="E223" s="4"/>
    </row>
    <row r="224" spans="1:10">
      <c r="A224" s="4"/>
      <c r="B224" s="4"/>
      <c r="C224" s="4"/>
      <c r="D224" s="4"/>
      <c r="E224" s="4"/>
    </row>
    <row r="225" spans="1:9">
      <c r="A225" s="4" t="s">
        <v>30</v>
      </c>
      <c r="B225" s="4"/>
      <c r="C225" s="4"/>
      <c r="D225" s="4"/>
      <c r="E225" s="4"/>
    </row>
    <row r="226" spans="1:9">
      <c r="A226" s="4"/>
      <c r="B226" s="4"/>
      <c r="C226" s="4"/>
      <c r="D226" s="4"/>
      <c r="E226" s="4"/>
    </row>
    <row r="227" spans="1:9">
      <c r="A227" s="4" t="s">
        <v>31</v>
      </c>
      <c r="B227" s="4"/>
      <c r="C227" s="4"/>
      <c r="D227" s="4"/>
      <c r="E227" s="4"/>
    </row>
    <row r="228" spans="1:9">
      <c r="A228" s="4" t="s">
        <v>29</v>
      </c>
      <c r="B228" s="4"/>
      <c r="C228" s="90"/>
      <c r="D228" s="90"/>
      <c r="E228" s="90"/>
      <c r="F228" s="91"/>
      <c r="G228" s="91"/>
      <c r="H228" s="91"/>
      <c r="I228" s="91"/>
    </row>
    <row r="229" spans="1:9">
      <c r="A229" s="4"/>
      <c r="B229" s="4"/>
      <c r="C229" s="4"/>
      <c r="D229" s="4"/>
      <c r="E229" s="4"/>
    </row>
    <row r="230" spans="1:9">
      <c r="A230" s="4"/>
      <c r="B230" s="4"/>
      <c r="C230" s="4"/>
      <c r="D230" s="4"/>
      <c r="E230" s="4"/>
    </row>
    <row r="231" spans="1:9">
      <c r="A231" s="4" t="s">
        <v>30</v>
      </c>
      <c r="B231" s="4"/>
      <c r="C231" s="4"/>
      <c r="D231" s="4"/>
      <c r="E231" s="4"/>
    </row>
    <row r="232" spans="1:9">
      <c r="A232" s="4"/>
      <c r="B232" s="4"/>
      <c r="C232" s="4"/>
      <c r="D232" s="4"/>
      <c r="E232" s="4"/>
    </row>
    <row r="233" spans="1:9">
      <c r="A233" s="4"/>
      <c r="B233" s="4"/>
      <c r="C233" s="4"/>
      <c r="D233" s="4"/>
      <c r="E233" s="4"/>
    </row>
    <row r="234" spans="1:9">
      <c r="A234" s="4"/>
      <c r="B234" s="4"/>
      <c r="C234" s="4"/>
      <c r="D234" s="4"/>
      <c r="E234" s="4"/>
    </row>
    <row r="235" spans="1:9">
      <c r="A235" s="4" t="s">
        <v>32</v>
      </c>
      <c r="B235" s="4"/>
      <c r="C235" s="4"/>
      <c r="D235" s="4"/>
      <c r="E235" s="4"/>
    </row>
    <row r="236" spans="1:9">
      <c r="A236" s="4" t="s">
        <v>339</v>
      </c>
      <c r="B236" s="4"/>
      <c r="C236" s="4"/>
      <c r="D236" s="4"/>
      <c r="E236" s="4"/>
    </row>
    <row r="237" spans="1:9">
      <c r="A237" s="4" t="s">
        <v>340</v>
      </c>
      <c r="B237" s="4"/>
      <c r="C237" s="4"/>
      <c r="D237" s="4"/>
      <c r="E237" s="4"/>
    </row>
    <row r="238" spans="1:9">
      <c r="A238" s="4" t="s">
        <v>371</v>
      </c>
      <c r="B238" s="4"/>
      <c r="C238" s="4"/>
      <c r="D238" s="4" t="str">
        <f>+LEFT(U5,1)&amp;"  "&amp;MID(U5,2,1)&amp;"  "&amp;MID(U5,3,1)&amp;"　"&amp;MID(U5,4,1)&amp;""&amp;MID(U5,5,1)&amp;"      印"</f>
        <v>佐  藤  勝　利      印</v>
      </c>
      <c r="E238" s="4"/>
    </row>
    <row r="239" spans="1:9" ht="16.5">
      <c r="A239" s="7"/>
      <c r="B239" s="7"/>
      <c r="C239" s="7"/>
      <c r="D239" s="7"/>
      <c r="E239" s="7"/>
    </row>
    <row r="240" spans="1:9">
      <c r="A240" s="4"/>
      <c r="B240" s="4"/>
      <c r="C240" s="4"/>
      <c r="D240" s="4"/>
      <c r="E240" s="4"/>
    </row>
    <row r="241" spans="1:16">
      <c r="A241" s="4"/>
      <c r="B241" s="4"/>
      <c r="C241" s="4"/>
      <c r="D241" s="4"/>
      <c r="E241" s="4"/>
    </row>
    <row r="242" spans="1:16">
      <c r="A242" s="4"/>
      <c r="B242" s="4"/>
      <c r="C242" s="4"/>
      <c r="D242" s="4"/>
      <c r="E242" s="4"/>
    </row>
    <row r="243" spans="1:16">
      <c r="A243" s="4"/>
      <c r="B243" s="4"/>
      <c r="C243" s="4"/>
      <c r="D243" s="4"/>
      <c r="E243" s="4"/>
    </row>
    <row r="244" spans="1:16">
      <c r="A244" s="4"/>
      <c r="B244" s="4"/>
      <c r="C244" s="4"/>
      <c r="D244" s="4"/>
      <c r="E244" s="4"/>
    </row>
    <row r="245" spans="1:16" ht="19">
      <c r="A245" s="1" t="s">
        <v>33</v>
      </c>
      <c r="B245" s="1"/>
      <c r="C245" s="1"/>
      <c r="D245" s="1"/>
      <c r="E245" s="1"/>
      <c r="F245" s="2"/>
      <c r="G245" s="2"/>
      <c r="H245" s="2"/>
      <c r="I245" s="2"/>
      <c r="J245" s="2"/>
      <c r="K245" s="2"/>
      <c r="L245" s="2"/>
      <c r="M245" s="2"/>
      <c r="N245" s="2"/>
      <c r="O245" s="2"/>
      <c r="P245" s="2"/>
    </row>
    <row r="246" spans="1:16">
      <c r="A246" s="8" t="s">
        <v>34</v>
      </c>
      <c r="B246" s="8"/>
      <c r="C246" s="8"/>
      <c r="D246" s="8"/>
      <c r="E246" s="8"/>
    </row>
    <row r="247" spans="1:16">
      <c r="A247" s="117" t="s">
        <v>374</v>
      </c>
      <c r="B247" s="117"/>
      <c r="C247" s="117" t="str">
        <f>+LEFT(U5,1)&amp;"  "&amp;MID(U5,2,1)&amp;"   "&amp;MID(U5,3,1)&amp;"   "&amp;MID(U5,4,1)&amp;"   "&amp;MID(U5,5,1)</f>
        <v xml:space="preserve">佐  藤   勝   利   </v>
      </c>
      <c r="D247" s="117"/>
      <c r="E247" s="91"/>
      <c r="F247" s="91"/>
      <c r="G247" s="117" t="s">
        <v>373</v>
      </c>
      <c r="H247" s="91"/>
      <c r="I247" s="91"/>
      <c r="J247" s="91"/>
      <c r="K247" s="91"/>
      <c r="L247" s="91"/>
      <c r="M247" s="91"/>
    </row>
    <row r="248" spans="1:16">
      <c r="A248" s="9"/>
      <c r="B248" s="9"/>
      <c r="C248" s="9"/>
      <c r="D248" s="9"/>
      <c r="E248" s="9"/>
    </row>
    <row r="249" spans="1:16">
      <c r="A249" s="8" t="s">
        <v>35</v>
      </c>
      <c r="B249" s="8"/>
      <c r="C249" s="8"/>
      <c r="D249" s="8"/>
      <c r="E249" s="8"/>
    </row>
    <row r="250" spans="1:16">
      <c r="A250" s="4" t="s">
        <v>36</v>
      </c>
      <c r="B250" s="4"/>
      <c r="C250" s="4"/>
      <c r="D250" s="4"/>
      <c r="E250" s="4"/>
    </row>
    <row r="251" spans="1:16" ht="15" customHeight="1">
      <c r="A251" s="10" t="s">
        <v>37</v>
      </c>
      <c r="B251" s="11"/>
      <c r="C251" s="11"/>
      <c r="D251" s="11"/>
      <c r="E251" s="11"/>
      <c r="F251" s="11"/>
      <c r="G251" s="12" t="s">
        <v>301</v>
      </c>
      <c r="H251" s="13"/>
      <c r="I251" s="13"/>
      <c r="J251" s="14"/>
      <c r="K251" s="14"/>
      <c r="L251" s="14"/>
      <c r="M251" s="14"/>
      <c r="N251" s="14"/>
      <c r="O251" s="14"/>
      <c r="P251" s="15"/>
    </row>
    <row r="252" spans="1:16" ht="15" customHeight="1">
      <c r="A252" s="16" t="s">
        <v>38</v>
      </c>
      <c r="B252" s="17"/>
      <c r="C252" s="17"/>
      <c r="D252" s="17"/>
      <c r="E252" s="17"/>
      <c r="F252" s="17"/>
      <c r="G252" s="18" t="s">
        <v>302</v>
      </c>
      <c r="H252" s="19"/>
      <c r="I252" s="19"/>
      <c r="J252" s="20"/>
      <c r="K252" s="20"/>
      <c r="L252" s="20"/>
      <c r="M252" s="20"/>
      <c r="N252" s="20"/>
      <c r="O252" s="20"/>
      <c r="P252" s="21"/>
    </row>
    <row r="253" spans="1:16" ht="15" customHeight="1">
      <c r="A253" s="16" t="s">
        <v>39</v>
      </c>
      <c r="B253" s="17"/>
      <c r="C253" s="17"/>
      <c r="D253" s="17"/>
      <c r="E253" s="17"/>
      <c r="F253" s="17"/>
      <c r="G253" s="18" t="s">
        <v>341</v>
      </c>
      <c r="H253" s="19"/>
      <c r="I253" s="19"/>
      <c r="J253" s="20"/>
      <c r="K253" s="20"/>
      <c r="L253" s="20"/>
      <c r="M253" s="20"/>
      <c r="N253" s="20"/>
      <c r="O253" s="20"/>
      <c r="P253" s="21"/>
    </row>
    <row r="254" spans="1:16" ht="15" customHeight="1">
      <c r="A254" s="16" t="s">
        <v>40</v>
      </c>
      <c r="B254" s="17"/>
      <c r="C254" s="17"/>
      <c r="D254" s="17"/>
      <c r="E254" s="17"/>
      <c r="F254" s="17"/>
      <c r="G254" s="18" t="s">
        <v>303</v>
      </c>
      <c r="H254" s="19"/>
      <c r="I254" s="19"/>
      <c r="J254" s="20"/>
      <c r="K254" s="20"/>
      <c r="L254" s="20"/>
      <c r="M254" s="20"/>
      <c r="N254" s="20"/>
      <c r="O254" s="20"/>
      <c r="P254" s="21"/>
    </row>
    <row r="255" spans="1:16" ht="15" customHeight="1">
      <c r="A255" s="16" t="s">
        <v>41</v>
      </c>
      <c r="B255" s="17"/>
      <c r="C255" s="17"/>
      <c r="D255" s="17"/>
      <c r="E255" s="17"/>
      <c r="F255" s="17"/>
      <c r="G255" s="18" t="str">
        <f>+LEFT(U5,1)&amp;"  "&amp;MID(U5,2,1)&amp;"   "&amp;MID(U5,3,1)&amp;"   "&amp;MID(U5,4,1)&amp;"   "&amp;MID(U5,5,1)&amp;"TEL　043-214-1670"</f>
        <v>佐  藤   勝   利   TEL　043-214-1670</v>
      </c>
      <c r="H255" s="19"/>
      <c r="I255" s="19"/>
      <c r="J255" s="20"/>
      <c r="K255" s="20"/>
      <c r="L255" s="20"/>
      <c r="M255" s="20"/>
      <c r="N255" s="20"/>
      <c r="O255" s="20"/>
      <c r="P255" s="21"/>
    </row>
    <row r="256" spans="1:16" ht="15" customHeight="1">
      <c r="A256" s="22" t="s">
        <v>42</v>
      </c>
      <c r="B256" s="23"/>
      <c r="C256" s="23"/>
      <c r="D256" s="23"/>
      <c r="E256" s="23"/>
      <c r="F256" s="23"/>
      <c r="G256" s="24" t="s">
        <v>304</v>
      </c>
      <c r="H256" s="25"/>
      <c r="I256" s="25"/>
      <c r="J256" s="26"/>
      <c r="K256" s="26"/>
      <c r="L256" s="26"/>
      <c r="M256" s="26"/>
      <c r="N256" s="26"/>
      <c r="O256" s="26"/>
      <c r="P256" s="27"/>
    </row>
    <row r="257" spans="1:16" ht="13.5" customHeight="1">
      <c r="A257" s="4" t="s">
        <v>43</v>
      </c>
      <c r="B257" s="4"/>
      <c r="C257" s="4"/>
      <c r="D257" s="4"/>
      <c r="E257" s="4"/>
    </row>
    <row r="258" spans="1:16">
      <c r="A258" s="4"/>
      <c r="B258" s="4"/>
      <c r="C258" s="4"/>
      <c r="D258" s="4"/>
      <c r="E258" s="4"/>
    </row>
    <row r="259" spans="1:16">
      <c r="A259" s="4" t="s">
        <v>44</v>
      </c>
      <c r="B259" s="4"/>
      <c r="C259" s="4"/>
      <c r="D259" s="4"/>
      <c r="E259" s="4"/>
    </row>
    <row r="260" spans="1:16" ht="21" customHeight="1">
      <c r="A260" s="10" t="s">
        <v>45</v>
      </c>
      <c r="B260" s="11"/>
      <c r="C260" s="11"/>
      <c r="D260" s="11"/>
      <c r="E260" s="11"/>
      <c r="F260" s="28" t="s">
        <v>46</v>
      </c>
      <c r="G260" s="11"/>
      <c r="H260" s="11"/>
      <c r="I260" s="29"/>
      <c r="J260" s="30"/>
      <c r="K260" s="30"/>
      <c r="L260" s="14"/>
      <c r="M260" s="30" t="s">
        <v>47</v>
      </c>
      <c r="N260" s="30"/>
      <c r="O260" s="14"/>
      <c r="P260" s="15"/>
    </row>
    <row r="261" spans="1:16" ht="15" customHeight="1">
      <c r="A261" s="16" t="s">
        <v>48</v>
      </c>
      <c r="B261" s="17"/>
      <c r="C261" s="17"/>
      <c r="D261" s="17"/>
      <c r="E261" s="17"/>
      <c r="F261" s="31" t="s">
        <v>49</v>
      </c>
      <c r="G261" s="17"/>
      <c r="H261" s="17"/>
      <c r="I261" s="32"/>
      <c r="J261" s="33"/>
      <c r="K261" s="33"/>
      <c r="L261" s="20"/>
      <c r="M261" s="33" t="s">
        <v>50</v>
      </c>
      <c r="N261" s="33"/>
      <c r="O261" s="20"/>
      <c r="P261" s="21"/>
    </row>
    <row r="262" spans="1:16" ht="15" customHeight="1">
      <c r="A262" s="16" t="s">
        <v>51</v>
      </c>
      <c r="B262" s="17"/>
      <c r="C262" s="17"/>
      <c r="D262" s="17"/>
      <c r="E262" s="17"/>
      <c r="F262" s="31" t="s">
        <v>307</v>
      </c>
      <c r="G262" s="17"/>
      <c r="H262" s="17"/>
      <c r="I262" s="32"/>
      <c r="J262" s="33"/>
      <c r="K262" s="33"/>
      <c r="L262" s="20"/>
      <c r="M262" s="33" t="s">
        <v>50</v>
      </c>
      <c r="N262" s="33"/>
      <c r="O262" s="20"/>
      <c r="P262" s="21"/>
    </row>
    <row r="263" spans="1:16" ht="15" customHeight="1">
      <c r="A263" s="22" t="s">
        <v>52</v>
      </c>
      <c r="B263" s="23"/>
      <c r="C263" s="23"/>
      <c r="D263" s="23"/>
      <c r="E263" s="23"/>
      <c r="F263" s="34" t="s">
        <v>305</v>
      </c>
      <c r="G263" s="23"/>
      <c r="H263" s="23"/>
      <c r="I263" s="35"/>
      <c r="J263" s="36"/>
      <c r="K263" s="36"/>
      <c r="L263" s="26"/>
      <c r="M263" s="36" t="s">
        <v>306</v>
      </c>
      <c r="N263" s="36"/>
      <c r="O263" s="26"/>
      <c r="P263" s="27"/>
    </row>
    <row r="264" spans="1:16">
      <c r="A264" s="3"/>
      <c r="B264" s="3"/>
      <c r="C264" s="3"/>
      <c r="D264" s="3"/>
      <c r="E264" s="3"/>
    </row>
    <row r="265" spans="1:16">
      <c r="A265" s="4" t="s">
        <v>53</v>
      </c>
      <c r="B265" s="4"/>
      <c r="C265" s="4"/>
      <c r="D265" s="4"/>
      <c r="E265" s="4"/>
    </row>
    <row r="266" spans="1:16" ht="18.399999999999999" customHeight="1">
      <c r="A266" s="37" t="s">
        <v>54</v>
      </c>
      <c r="B266" s="38"/>
      <c r="C266" s="38"/>
      <c r="D266" s="38"/>
      <c r="E266" s="38"/>
      <c r="F266" s="39" t="s">
        <v>55</v>
      </c>
      <c r="G266" s="38"/>
      <c r="H266" s="40"/>
      <c r="I266" s="39"/>
      <c r="J266" s="39" t="s">
        <v>123</v>
      </c>
      <c r="K266" s="40"/>
      <c r="L266" s="38" t="s">
        <v>122</v>
      </c>
      <c r="M266" s="41"/>
      <c r="N266" s="41"/>
      <c r="O266" s="41"/>
      <c r="P266" s="42"/>
    </row>
    <row r="267" spans="1:16" ht="13.5" customHeight="1">
      <c r="A267" s="4" t="s">
        <v>56</v>
      </c>
      <c r="B267" s="4"/>
      <c r="C267" s="4"/>
      <c r="D267" s="4"/>
      <c r="E267" s="4"/>
    </row>
    <row r="268" spans="1:16">
      <c r="A268" s="9"/>
      <c r="B268" s="9"/>
      <c r="C268" s="9"/>
      <c r="D268" s="9"/>
      <c r="E268" s="9"/>
    </row>
    <row r="269" spans="1:16">
      <c r="A269" s="9"/>
      <c r="B269" s="9"/>
      <c r="C269" s="9"/>
      <c r="D269" s="9"/>
      <c r="E269" s="9"/>
    </row>
    <row r="270" spans="1:16">
      <c r="A270" s="8" t="s">
        <v>126</v>
      </c>
      <c r="B270" s="8"/>
      <c r="C270" s="8"/>
      <c r="D270" s="8"/>
      <c r="E270" s="8"/>
    </row>
    <row r="271" spans="1:16" ht="14.25" customHeight="1">
      <c r="A271" s="8" t="s">
        <v>127</v>
      </c>
      <c r="B271" s="8"/>
      <c r="C271" s="8"/>
      <c r="D271" s="8"/>
      <c r="E271" s="8"/>
    </row>
    <row r="272" spans="1:16">
      <c r="A272" s="43" t="s">
        <v>57</v>
      </c>
      <c r="B272" s="44"/>
      <c r="C272" s="44"/>
      <c r="D272" s="44"/>
      <c r="E272" s="44"/>
      <c r="F272" s="43" t="s">
        <v>58</v>
      </c>
      <c r="G272" s="44"/>
      <c r="H272" s="44"/>
      <c r="I272" s="45"/>
      <c r="J272" s="43" t="s">
        <v>12</v>
      </c>
      <c r="K272" s="44"/>
      <c r="L272" s="44"/>
      <c r="M272" s="45"/>
      <c r="N272" s="44" t="s">
        <v>13</v>
      </c>
      <c r="O272" s="46"/>
      <c r="P272" s="47"/>
    </row>
    <row r="273" spans="1:16">
      <c r="A273" s="43" t="s">
        <v>59</v>
      </c>
      <c r="B273" s="44"/>
      <c r="C273" s="44"/>
      <c r="D273" s="44"/>
      <c r="E273" s="44"/>
      <c r="F273" s="43" t="s">
        <v>60</v>
      </c>
      <c r="G273" s="44"/>
      <c r="H273" s="44"/>
      <c r="I273" s="45"/>
      <c r="J273" s="43" t="s">
        <v>61</v>
      </c>
      <c r="K273" s="44"/>
      <c r="L273" s="44"/>
      <c r="M273" s="45"/>
      <c r="N273" s="44" t="s">
        <v>62</v>
      </c>
      <c r="O273" s="46"/>
      <c r="P273" s="47"/>
    </row>
    <row r="274" spans="1:16">
      <c r="A274" s="43" t="s">
        <v>63</v>
      </c>
      <c r="B274" s="44"/>
      <c r="C274" s="44"/>
      <c r="D274" s="44"/>
      <c r="E274" s="44"/>
      <c r="F274" s="43" t="s">
        <v>64</v>
      </c>
      <c r="G274" s="44"/>
      <c r="H274" s="44"/>
      <c r="I274" s="45"/>
      <c r="J274" s="43" t="s">
        <v>65</v>
      </c>
      <c r="K274" s="44"/>
      <c r="L274" s="44"/>
      <c r="M274" s="45"/>
      <c r="N274" s="44" t="s">
        <v>66</v>
      </c>
      <c r="O274" s="46"/>
      <c r="P274" s="47"/>
    </row>
    <row r="275" spans="1:16">
      <c r="A275" s="43" t="s">
        <v>67</v>
      </c>
      <c r="B275" s="44"/>
      <c r="C275" s="44"/>
      <c r="D275" s="44"/>
      <c r="E275" s="44"/>
      <c r="F275" s="43"/>
      <c r="G275" s="44"/>
      <c r="H275" s="44"/>
      <c r="I275" s="45"/>
      <c r="J275" s="43"/>
      <c r="K275" s="44"/>
      <c r="L275" s="44"/>
      <c r="M275" s="47"/>
      <c r="N275" s="46"/>
      <c r="O275" s="46"/>
      <c r="P275" s="47"/>
    </row>
    <row r="276" spans="1:16" ht="14.25" customHeight="1">
      <c r="A276" s="8" t="s">
        <v>68</v>
      </c>
      <c r="B276" s="8"/>
      <c r="C276" s="8"/>
      <c r="D276" s="8"/>
      <c r="E276" s="8"/>
    </row>
    <row r="277" spans="1:16">
      <c r="A277" s="48" t="s">
        <v>61</v>
      </c>
      <c r="B277" s="106"/>
      <c r="C277" s="106"/>
      <c r="D277" s="106"/>
      <c r="E277" s="106"/>
      <c r="F277" s="48" t="s">
        <v>63</v>
      </c>
      <c r="G277" s="106"/>
      <c r="H277" s="106"/>
      <c r="I277" s="107"/>
      <c r="J277" s="48" t="s">
        <v>69</v>
      </c>
      <c r="K277" s="106"/>
      <c r="L277" s="106"/>
      <c r="M277" s="60"/>
      <c r="N277" s="59" t="s">
        <v>124</v>
      </c>
      <c r="O277" s="59"/>
      <c r="P277" s="60"/>
    </row>
    <row r="278" spans="1:16" ht="13.5" customHeight="1">
      <c r="A278" s="8" t="s">
        <v>226</v>
      </c>
      <c r="B278" s="8"/>
      <c r="C278" s="8"/>
      <c r="D278" s="8"/>
      <c r="E278" s="8"/>
    </row>
    <row r="279" spans="1:16" ht="13.5" customHeight="1">
      <c r="A279" s="8" t="s">
        <v>227</v>
      </c>
      <c r="B279" s="8"/>
      <c r="C279" s="8"/>
      <c r="D279" s="8"/>
      <c r="E279" s="8"/>
    </row>
    <row r="280" spans="1:16">
      <c r="A280" s="8" t="s">
        <v>125</v>
      </c>
      <c r="B280" s="8"/>
      <c r="C280" s="8"/>
      <c r="D280" s="8"/>
      <c r="E280" s="8"/>
    </row>
    <row r="281" spans="1:16">
      <c r="A281" s="3"/>
      <c r="B281" s="3"/>
      <c r="C281" s="3"/>
      <c r="D281" s="3"/>
      <c r="E281" s="3"/>
    </row>
    <row r="282" spans="1:16">
      <c r="A282" s="4" t="s">
        <v>70</v>
      </c>
      <c r="B282" s="4"/>
      <c r="C282" s="4"/>
      <c r="D282" s="4"/>
      <c r="E282" s="4"/>
    </row>
    <row r="283" spans="1:16">
      <c r="A283" s="4" t="s">
        <v>71</v>
      </c>
      <c r="B283" s="4"/>
      <c r="C283" s="4"/>
      <c r="D283" s="4"/>
      <c r="E283" s="4"/>
    </row>
    <row r="284" spans="1:16">
      <c r="A284" s="4" t="s">
        <v>228</v>
      </c>
      <c r="B284" s="4"/>
      <c r="C284" s="4"/>
      <c r="D284" s="4"/>
      <c r="E284" s="4"/>
    </row>
    <row r="285" spans="1:16">
      <c r="A285" s="4" t="s">
        <v>229</v>
      </c>
      <c r="B285" s="4"/>
      <c r="C285" s="4"/>
      <c r="D285" s="4"/>
      <c r="E285" s="4"/>
    </row>
    <row r="286" spans="1:16">
      <c r="A286" s="4" t="s">
        <v>230</v>
      </c>
      <c r="B286" s="4"/>
      <c r="C286" s="4"/>
      <c r="D286" s="4"/>
      <c r="E286" s="4"/>
    </row>
    <row r="287" spans="1:16">
      <c r="A287" s="3"/>
      <c r="B287" s="3"/>
      <c r="C287" s="3"/>
      <c r="D287" s="3"/>
      <c r="E287" s="3"/>
    </row>
    <row r="288" spans="1:16">
      <c r="A288" s="4" t="s">
        <v>72</v>
      </c>
      <c r="B288" s="4"/>
      <c r="C288" s="4"/>
      <c r="D288" s="4"/>
      <c r="E288" s="4"/>
    </row>
    <row r="289" spans="1:5">
      <c r="A289" s="4" t="s">
        <v>128</v>
      </c>
      <c r="B289" s="4"/>
      <c r="C289" s="4"/>
      <c r="D289" s="4"/>
      <c r="E289" s="4"/>
    </row>
    <row r="290" spans="1:5">
      <c r="A290" s="4" t="s">
        <v>402</v>
      </c>
      <c r="B290" s="4"/>
      <c r="C290" s="4"/>
      <c r="D290" s="4"/>
      <c r="E290" s="4"/>
    </row>
    <row r="291" spans="1:5">
      <c r="A291" s="4" t="s">
        <v>231</v>
      </c>
      <c r="B291" s="4"/>
      <c r="C291" s="4"/>
      <c r="D291" s="4"/>
      <c r="E291" s="4"/>
    </row>
    <row r="292" spans="1:5">
      <c r="A292" s="4" t="s">
        <v>232</v>
      </c>
      <c r="B292" s="4"/>
      <c r="C292" s="4"/>
      <c r="D292" s="4"/>
      <c r="E292" s="4"/>
    </row>
    <row r="293" spans="1:5">
      <c r="A293" s="4" t="s">
        <v>73</v>
      </c>
      <c r="B293" s="4"/>
      <c r="C293" s="4"/>
      <c r="D293" s="4"/>
      <c r="E293" s="4"/>
    </row>
    <row r="294" spans="1:5">
      <c r="A294" s="4" t="s">
        <v>129</v>
      </c>
      <c r="B294" s="4"/>
      <c r="C294" s="4"/>
      <c r="D294" s="4"/>
      <c r="E294" s="4"/>
    </row>
    <row r="295" spans="1:5">
      <c r="A295" s="4" t="s">
        <v>74</v>
      </c>
      <c r="B295" s="4"/>
      <c r="C295" s="4"/>
      <c r="D295" s="4"/>
      <c r="E295" s="4"/>
    </row>
    <row r="296" spans="1:5">
      <c r="A296" s="4" t="s">
        <v>130</v>
      </c>
      <c r="B296" s="4"/>
      <c r="C296" s="4"/>
      <c r="D296" s="4"/>
      <c r="E296" s="4"/>
    </row>
    <row r="297" spans="1:5">
      <c r="A297" s="49" t="s">
        <v>131</v>
      </c>
      <c r="B297" s="49"/>
      <c r="C297" s="49"/>
      <c r="D297" s="49"/>
      <c r="E297" s="49"/>
    </row>
    <row r="298" spans="1:5">
      <c r="A298" s="4" t="s">
        <v>233</v>
      </c>
      <c r="B298" s="4"/>
      <c r="C298" s="4"/>
      <c r="D298" s="4"/>
      <c r="E298" s="4"/>
    </row>
    <row r="299" spans="1:5">
      <c r="A299" s="49" t="s">
        <v>132</v>
      </c>
      <c r="B299" s="49"/>
      <c r="C299" s="49"/>
      <c r="D299" s="49"/>
      <c r="E299" s="49"/>
    </row>
    <row r="300" spans="1:5">
      <c r="A300" s="49" t="s">
        <v>133</v>
      </c>
      <c r="B300" s="49"/>
      <c r="C300" s="49"/>
      <c r="D300" s="49"/>
      <c r="E300" s="49"/>
    </row>
    <row r="301" spans="1:5">
      <c r="A301" s="49" t="s">
        <v>134</v>
      </c>
      <c r="B301" s="49"/>
      <c r="C301" s="49"/>
      <c r="D301" s="49"/>
      <c r="E301" s="49"/>
    </row>
    <row r="302" spans="1:5">
      <c r="A302" s="4" t="s">
        <v>135</v>
      </c>
      <c r="B302" s="4"/>
      <c r="C302" s="4"/>
      <c r="D302" s="4"/>
      <c r="E302" s="4"/>
    </row>
    <row r="303" spans="1:5">
      <c r="A303" s="4" t="s">
        <v>136</v>
      </c>
      <c r="B303" s="4"/>
      <c r="C303" s="4"/>
      <c r="D303" s="4"/>
      <c r="E303" s="4"/>
    </row>
    <row r="304" spans="1:5">
      <c r="A304" s="4" t="s">
        <v>234</v>
      </c>
      <c r="B304" s="4"/>
      <c r="C304" s="4"/>
      <c r="D304" s="4"/>
      <c r="E304" s="4"/>
    </row>
    <row r="305" spans="1:5">
      <c r="A305" s="4" t="s">
        <v>235</v>
      </c>
      <c r="B305" s="4"/>
      <c r="C305" s="4"/>
      <c r="D305" s="4"/>
      <c r="E305" s="4"/>
    </row>
    <row r="306" spans="1:5">
      <c r="A306" s="4" t="s">
        <v>236</v>
      </c>
      <c r="B306" s="4"/>
      <c r="C306" s="4"/>
      <c r="D306" s="4"/>
      <c r="E306" s="4"/>
    </row>
    <row r="307" spans="1:5">
      <c r="A307" s="4" t="s">
        <v>237</v>
      </c>
      <c r="B307" s="4"/>
      <c r="C307" s="4"/>
      <c r="D307" s="4"/>
      <c r="E307" s="4"/>
    </row>
    <row r="308" spans="1:5">
      <c r="A308" s="4" t="s">
        <v>238</v>
      </c>
      <c r="B308" s="4"/>
      <c r="C308" s="4"/>
      <c r="D308" s="4"/>
      <c r="E308" s="4"/>
    </row>
    <row r="309" spans="1:5">
      <c r="A309" s="4" t="s">
        <v>239</v>
      </c>
      <c r="B309" s="4"/>
      <c r="C309" s="4"/>
      <c r="D309" s="4"/>
      <c r="E309" s="4"/>
    </row>
    <row r="310" spans="1:5">
      <c r="A310" s="3"/>
      <c r="B310" s="3"/>
      <c r="C310" s="3"/>
      <c r="D310" s="3"/>
      <c r="E310" s="3"/>
    </row>
    <row r="311" spans="1:5">
      <c r="A311" s="4" t="s">
        <v>75</v>
      </c>
      <c r="B311" s="4"/>
      <c r="C311" s="4"/>
      <c r="D311" s="4"/>
      <c r="E311" s="4"/>
    </row>
    <row r="312" spans="1:5">
      <c r="A312" s="4" t="s">
        <v>76</v>
      </c>
      <c r="B312" s="4"/>
      <c r="C312" s="4"/>
      <c r="D312" s="4"/>
      <c r="E312" s="4"/>
    </row>
    <row r="313" spans="1:5">
      <c r="A313" s="4" t="s">
        <v>240</v>
      </c>
      <c r="B313" s="4"/>
      <c r="C313" s="4"/>
      <c r="D313" s="4"/>
      <c r="E313" s="4"/>
    </row>
    <row r="314" spans="1:5">
      <c r="A314" s="4" t="s">
        <v>241</v>
      </c>
      <c r="B314" s="4"/>
      <c r="C314" s="4"/>
      <c r="D314" s="4"/>
      <c r="E314" s="4"/>
    </row>
    <row r="315" spans="1:5">
      <c r="A315" s="4" t="s">
        <v>242</v>
      </c>
      <c r="B315" s="4"/>
      <c r="C315" s="4"/>
      <c r="D315" s="4"/>
      <c r="E315" s="4"/>
    </row>
    <row r="316" spans="1:5">
      <c r="A316" s="4" t="s">
        <v>243</v>
      </c>
      <c r="B316" s="4"/>
      <c r="C316" s="4"/>
      <c r="D316" s="4"/>
      <c r="E316" s="4"/>
    </row>
    <row r="317" spans="1:5">
      <c r="A317" s="4" t="s">
        <v>244</v>
      </c>
      <c r="B317" s="4"/>
      <c r="C317" s="4"/>
      <c r="D317" s="4"/>
      <c r="E317" s="4"/>
    </row>
    <row r="318" spans="1:5">
      <c r="A318" s="4" t="s">
        <v>245</v>
      </c>
      <c r="B318" s="4"/>
      <c r="C318" s="4"/>
      <c r="D318" s="4"/>
      <c r="E318" s="4"/>
    </row>
    <row r="319" spans="1:5">
      <c r="A319" s="4" t="s">
        <v>77</v>
      </c>
      <c r="B319" s="4"/>
      <c r="C319" s="4"/>
      <c r="D319" s="4"/>
      <c r="E319" s="4"/>
    </row>
    <row r="320" spans="1:5">
      <c r="A320" s="4" t="s">
        <v>246</v>
      </c>
      <c r="B320" s="4"/>
      <c r="C320" s="4"/>
      <c r="D320" s="4"/>
      <c r="E320" s="4"/>
    </row>
    <row r="321" spans="1:5">
      <c r="A321" s="4" t="s">
        <v>343</v>
      </c>
      <c r="B321" s="4"/>
      <c r="C321" s="4"/>
      <c r="D321" s="4"/>
      <c r="E321" s="4"/>
    </row>
    <row r="322" spans="1:5">
      <c r="A322" s="4" t="s">
        <v>247</v>
      </c>
      <c r="B322" s="4"/>
      <c r="C322" s="4"/>
      <c r="D322" s="4"/>
      <c r="E322" s="4"/>
    </row>
    <row r="323" spans="1:5">
      <c r="A323" s="4" t="s">
        <v>248</v>
      </c>
      <c r="B323" s="4"/>
      <c r="C323" s="4"/>
      <c r="D323" s="4"/>
      <c r="E323" s="4"/>
    </row>
    <row r="324" spans="1:5">
      <c r="A324" s="4" t="s">
        <v>78</v>
      </c>
      <c r="B324" s="4"/>
      <c r="C324" s="4"/>
      <c r="D324" s="4"/>
      <c r="E324" s="4"/>
    </row>
    <row r="325" spans="1:5" s="105" customFormat="1">
      <c r="A325" s="104" t="s">
        <v>324</v>
      </c>
      <c r="B325" s="104"/>
      <c r="C325" s="104"/>
      <c r="D325" s="104"/>
      <c r="E325" s="104"/>
    </row>
    <row r="326" spans="1:5" s="105" customFormat="1">
      <c r="A326" s="104" t="s">
        <v>325</v>
      </c>
      <c r="B326" s="104"/>
      <c r="C326" s="104"/>
      <c r="D326" s="104"/>
      <c r="E326" s="104"/>
    </row>
    <row r="327" spans="1:5" s="105" customFormat="1">
      <c r="A327" s="104" t="s">
        <v>295</v>
      </c>
      <c r="B327" s="104"/>
      <c r="C327" s="104"/>
      <c r="D327" s="104"/>
      <c r="E327" s="104"/>
    </row>
    <row r="328" spans="1:5" s="105" customFormat="1">
      <c r="A328" s="104" t="s">
        <v>296</v>
      </c>
      <c r="B328" s="104"/>
      <c r="C328" s="104"/>
      <c r="D328" s="104"/>
      <c r="E328" s="104"/>
    </row>
    <row r="329" spans="1:5" s="105" customFormat="1">
      <c r="A329" s="104" t="s">
        <v>297</v>
      </c>
      <c r="B329" s="104"/>
      <c r="C329" s="104"/>
      <c r="D329" s="104"/>
      <c r="E329" s="104"/>
    </row>
    <row r="330" spans="1:5">
      <c r="A330" s="3"/>
      <c r="B330" s="3"/>
      <c r="C330" s="3"/>
      <c r="D330" s="3"/>
      <c r="E330" s="3"/>
    </row>
    <row r="331" spans="1:5">
      <c r="A331" s="4" t="s">
        <v>79</v>
      </c>
      <c r="B331" s="4"/>
      <c r="C331" s="4"/>
      <c r="D331" s="4"/>
      <c r="E331" s="4"/>
    </row>
    <row r="332" spans="1:5">
      <c r="A332" s="4" t="s">
        <v>249</v>
      </c>
      <c r="B332" s="4"/>
      <c r="C332" s="4"/>
      <c r="D332" s="4"/>
      <c r="E332" s="4"/>
    </row>
    <row r="333" spans="1:5">
      <c r="A333" s="4" t="s">
        <v>250</v>
      </c>
      <c r="B333" s="4"/>
      <c r="C333" s="4"/>
      <c r="D333" s="4"/>
      <c r="E333" s="4"/>
    </row>
    <row r="334" spans="1:5">
      <c r="A334" s="8"/>
      <c r="B334" s="8"/>
      <c r="C334" s="8" t="s">
        <v>264</v>
      </c>
      <c r="D334" s="8"/>
      <c r="E334" s="8"/>
    </row>
    <row r="335" spans="1:5">
      <c r="A335" s="4"/>
      <c r="B335" s="4"/>
      <c r="C335" s="4" t="s">
        <v>372</v>
      </c>
      <c r="D335" s="4"/>
      <c r="E335" s="4"/>
    </row>
    <row r="336" spans="1:5">
      <c r="A336" s="4"/>
      <c r="B336" s="4"/>
      <c r="C336" s="4" t="s">
        <v>308</v>
      </c>
      <c r="D336" s="4"/>
      <c r="E336" s="4"/>
    </row>
    <row r="337" spans="1:14" ht="14.25" customHeight="1">
      <c r="A337" s="4" t="s">
        <v>80</v>
      </c>
      <c r="B337" s="4"/>
      <c r="C337" s="4"/>
      <c r="D337" s="4"/>
      <c r="E337" s="4"/>
    </row>
    <row r="338" spans="1:14" ht="18" customHeight="1">
      <c r="A338" s="100"/>
      <c r="B338" s="37" t="s">
        <v>81</v>
      </c>
      <c r="C338" s="101"/>
      <c r="D338" s="50" t="s">
        <v>309</v>
      </c>
      <c r="E338" s="50"/>
      <c r="F338" s="50"/>
      <c r="G338" s="50"/>
      <c r="H338" s="50"/>
      <c r="I338" s="51"/>
      <c r="J338" s="38" t="s">
        <v>317</v>
      </c>
      <c r="K338" s="38"/>
      <c r="L338" s="41"/>
      <c r="M338" s="41"/>
      <c r="N338" s="42"/>
    </row>
    <row r="339" spans="1:14" ht="18" customHeight="1">
      <c r="A339" s="100"/>
      <c r="B339" s="37" t="s">
        <v>82</v>
      </c>
      <c r="C339" s="101"/>
      <c r="D339" s="50" t="s">
        <v>83</v>
      </c>
      <c r="E339" s="50"/>
      <c r="F339" s="50"/>
      <c r="G339" s="50"/>
      <c r="H339" s="50"/>
      <c r="I339" s="51"/>
      <c r="J339" s="38" t="s">
        <v>84</v>
      </c>
      <c r="K339" s="38"/>
      <c r="L339" s="41"/>
      <c r="M339" s="41"/>
      <c r="N339" s="42"/>
    </row>
    <row r="340" spans="1:14" ht="18" customHeight="1">
      <c r="A340" s="100"/>
      <c r="B340" s="37" t="s">
        <v>310</v>
      </c>
      <c r="C340" s="101"/>
      <c r="D340" s="50" t="s">
        <v>311</v>
      </c>
      <c r="E340" s="50"/>
      <c r="F340" s="50"/>
      <c r="G340" s="50"/>
      <c r="H340" s="50"/>
      <c r="I340" s="51"/>
      <c r="J340" s="38" t="s">
        <v>318</v>
      </c>
      <c r="K340" s="38"/>
      <c r="L340" s="41"/>
      <c r="M340" s="41"/>
      <c r="N340" s="42"/>
    </row>
    <row r="341" spans="1:14" ht="18" customHeight="1">
      <c r="A341" s="100"/>
      <c r="B341" s="37" t="s">
        <v>312</v>
      </c>
      <c r="C341" s="101"/>
      <c r="D341" s="50" t="s">
        <v>313</v>
      </c>
      <c r="E341" s="50"/>
      <c r="F341" s="50"/>
      <c r="G341" s="50"/>
      <c r="H341" s="50"/>
      <c r="I341" s="51"/>
      <c r="J341" s="38" t="s">
        <v>319</v>
      </c>
      <c r="K341" s="38"/>
      <c r="L341" s="41"/>
      <c r="M341" s="41"/>
      <c r="N341" s="42"/>
    </row>
    <row r="342" spans="1:14" ht="18" customHeight="1">
      <c r="A342" s="100"/>
      <c r="B342" s="37" t="s">
        <v>85</v>
      </c>
      <c r="C342" s="101"/>
      <c r="D342" s="50" t="s">
        <v>314</v>
      </c>
      <c r="E342" s="50"/>
      <c r="F342" s="50"/>
      <c r="G342" s="50"/>
      <c r="H342" s="50"/>
      <c r="I342" s="51"/>
      <c r="J342" s="38" t="s">
        <v>320</v>
      </c>
      <c r="K342" s="38"/>
      <c r="L342" s="41"/>
      <c r="M342" s="41"/>
      <c r="N342" s="42"/>
    </row>
    <row r="343" spans="1:14" ht="18" customHeight="1">
      <c r="A343" s="100"/>
      <c r="B343" s="37" t="s">
        <v>315</v>
      </c>
      <c r="C343" s="101"/>
      <c r="D343" s="50" t="s">
        <v>316</v>
      </c>
      <c r="E343" s="50"/>
      <c r="F343" s="50"/>
      <c r="G343" s="50"/>
      <c r="H343" s="50"/>
      <c r="I343" s="51"/>
      <c r="J343" s="38" t="s">
        <v>321</v>
      </c>
      <c r="K343" s="38"/>
      <c r="L343" s="41"/>
      <c r="M343" s="41"/>
      <c r="N343" s="42"/>
    </row>
    <row r="344" spans="1:14" ht="18" customHeight="1">
      <c r="A344" s="100"/>
      <c r="B344" s="37"/>
      <c r="C344" s="101"/>
      <c r="D344" s="50"/>
      <c r="E344" s="50"/>
      <c r="F344" s="50"/>
      <c r="G344" s="50"/>
      <c r="H344" s="50"/>
      <c r="I344" s="51"/>
      <c r="J344" s="38"/>
      <c r="K344" s="38"/>
      <c r="L344" s="41"/>
      <c r="M344" s="41"/>
      <c r="N344" s="42"/>
    </row>
    <row r="345" spans="1:14" ht="16.5" customHeight="1">
      <c r="A345" s="177" t="str">
        <f>S3&amp;"　"&amp;S2&amp;"　"&amp;"年"</f>
        <v>令和　6　年</v>
      </c>
      <c r="B345" s="177"/>
      <c r="C345" s="177"/>
      <c r="D345" s="115">
        <f>+U2</f>
        <v>3</v>
      </c>
      <c r="E345" s="116" t="s">
        <v>358</v>
      </c>
      <c r="F345" s="113">
        <f>+W2</f>
        <v>13</v>
      </c>
      <c r="G345" s="114" t="s">
        <v>357</v>
      </c>
    </row>
    <row r="346" spans="1:14" ht="13.5" customHeight="1">
      <c r="A346" s="53" t="s">
        <v>148</v>
      </c>
      <c r="B346" s="53"/>
      <c r="C346" s="53"/>
      <c r="D346" s="53"/>
      <c r="E346" s="53"/>
    </row>
    <row r="347" spans="1:14" ht="13.5" customHeight="1">
      <c r="A347" s="53" t="s">
        <v>149</v>
      </c>
      <c r="B347" s="53"/>
      <c r="C347" s="53"/>
      <c r="D347" s="53"/>
      <c r="E347" s="53"/>
    </row>
    <row r="348" spans="1:14" ht="13.5" customHeight="1">
      <c r="A348" s="53" t="s">
        <v>380</v>
      </c>
      <c r="B348" s="53"/>
      <c r="C348" s="53"/>
      <c r="D348" s="53"/>
      <c r="E348" s="53"/>
      <c r="J348" s="63" t="str">
        <f>+MID(U4,1,1)&amp;" "&amp;MID(U4,2,1)&amp;" "&amp;MID(U4,3,1)&amp;" "&amp;MID(U4,4,1)&amp;" "&amp;MID(U4,5,1)&amp;"      印"</f>
        <v>澤 田 　 拓 馬      印</v>
      </c>
    </row>
    <row r="349" spans="1:14" ht="13.5" customHeight="1">
      <c r="A349" s="53" t="s">
        <v>86</v>
      </c>
      <c r="B349" s="53"/>
      <c r="C349" s="53"/>
      <c r="D349" s="53"/>
      <c r="E349" s="53"/>
    </row>
    <row r="350" spans="1:14" ht="13.5" customHeight="1">
      <c r="A350" s="53" t="s">
        <v>342</v>
      </c>
      <c r="B350" s="53"/>
      <c r="C350" s="53"/>
      <c r="D350" s="53"/>
      <c r="E350" s="53"/>
    </row>
    <row r="351" spans="1:14" ht="13.5" customHeight="1">
      <c r="A351" s="53" t="s">
        <v>322</v>
      </c>
      <c r="B351" s="53"/>
      <c r="C351" s="53"/>
      <c r="D351" s="53"/>
      <c r="E351" s="53"/>
    </row>
    <row r="352" spans="1:14" ht="13.5" customHeight="1">
      <c r="A352" s="53" t="s">
        <v>381</v>
      </c>
      <c r="B352" s="53"/>
      <c r="C352" s="53"/>
      <c r="D352" s="53"/>
      <c r="E352" s="53"/>
      <c r="F352" t="str">
        <f>+LEFT(U5,1)&amp;"  "&amp;MID(U5,2,1)&amp;"   "&amp;MID(U5,3,1)&amp;"   "&amp;MID(U5,4,1)&amp;"   "&amp;MID(U5,5,1)&amp;"     印"</f>
        <v>佐  藤   勝   利        印</v>
      </c>
    </row>
    <row r="353" spans="1:16" ht="13.5" customHeight="1">
      <c r="A353" s="53"/>
      <c r="B353" s="53"/>
      <c r="C353" s="53"/>
      <c r="D353" s="53"/>
      <c r="E353" s="53"/>
    </row>
    <row r="354" spans="1:16" ht="13.5" customHeight="1">
      <c r="A354" s="53" t="s">
        <v>87</v>
      </c>
      <c r="B354" s="53"/>
      <c r="C354" s="53"/>
      <c r="D354" s="53"/>
      <c r="E354" s="53"/>
    </row>
    <row r="355" spans="1:16" ht="13.5" customHeight="1">
      <c r="A355" s="53" t="s">
        <v>88</v>
      </c>
      <c r="B355" s="53"/>
      <c r="C355" s="53"/>
      <c r="D355" s="53"/>
      <c r="E355" s="53"/>
    </row>
    <row r="356" spans="1:16" ht="13.5" customHeight="1">
      <c r="A356" s="53" t="s">
        <v>89</v>
      </c>
      <c r="B356" s="53"/>
      <c r="C356" s="53"/>
      <c r="D356" s="53"/>
      <c r="E356" s="53"/>
    </row>
    <row r="357" spans="1:16" ht="13.5" customHeight="1">
      <c r="A357" s="53" t="s">
        <v>150</v>
      </c>
      <c r="B357" s="53"/>
      <c r="C357" s="53"/>
      <c r="D357" s="53"/>
      <c r="E357" s="53"/>
    </row>
    <row r="358" spans="1:16" ht="13.5" customHeight="1">
      <c r="A358" s="53" t="s">
        <v>151</v>
      </c>
      <c r="B358" s="53"/>
      <c r="C358" s="53"/>
      <c r="D358" s="53"/>
      <c r="E358" s="53"/>
    </row>
    <row r="359" spans="1:16" ht="13.5" customHeight="1">
      <c r="A359" s="53" t="s">
        <v>90</v>
      </c>
      <c r="B359" s="53"/>
      <c r="C359" s="53"/>
      <c r="D359" s="53"/>
      <c r="E359" s="53"/>
    </row>
    <row r="360" spans="1:16" ht="13.5" customHeight="1">
      <c r="A360" s="53"/>
      <c r="B360" s="53"/>
      <c r="C360" s="53"/>
      <c r="D360" s="53"/>
      <c r="E360" s="53"/>
    </row>
    <row r="361" spans="1:16" ht="13.5" customHeight="1">
      <c r="A361" s="53" t="s">
        <v>137</v>
      </c>
      <c r="B361" s="53"/>
      <c r="C361" s="53"/>
      <c r="D361" s="53"/>
      <c r="E361" s="53"/>
    </row>
    <row r="362" spans="1:16" ht="16.5">
      <c r="A362" s="54" t="s">
        <v>91</v>
      </c>
      <c r="B362" s="54"/>
      <c r="C362" s="54"/>
      <c r="D362" s="54"/>
      <c r="E362" s="54"/>
      <c r="F362" s="2"/>
      <c r="G362" s="2"/>
      <c r="H362" s="2"/>
      <c r="I362" s="2"/>
      <c r="J362" s="2"/>
      <c r="K362" s="2"/>
      <c r="L362" s="2"/>
      <c r="M362" s="2"/>
      <c r="N362" s="2"/>
      <c r="O362" s="2"/>
      <c r="P362" s="2"/>
    </row>
    <row r="363" spans="1:16" ht="18" customHeight="1">
      <c r="A363" s="55"/>
      <c r="B363" s="55"/>
      <c r="C363" s="55"/>
      <c r="D363" s="55"/>
      <c r="E363" s="55"/>
    </row>
    <row r="364" spans="1:16" ht="18" customHeight="1">
      <c r="A364" s="56"/>
      <c r="B364" s="56"/>
      <c r="C364" s="56"/>
      <c r="D364" s="56"/>
      <c r="E364" s="56"/>
    </row>
    <row r="365" spans="1:16" ht="18" customHeight="1">
      <c r="A365" s="57" t="s">
        <v>92</v>
      </c>
      <c r="B365" s="57"/>
      <c r="C365" s="57"/>
      <c r="D365" s="57"/>
      <c r="E365" s="57"/>
    </row>
    <row r="366" spans="1:16" ht="18" customHeight="1">
      <c r="A366" s="102" t="s">
        <v>93</v>
      </c>
      <c r="B366" s="58"/>
      <c r="C366" s="58"/>
      <c r="D366" s="58"/>
      <c r="E366" s="58"/>
      <c r="F366" s="58" t="s">
        <v>94</v>
      </c>
      <c r="G366" s="58"/>
      <c r="H366" s="58"/>
      <c r="I366" s="58"/>
      <c r="J366" s="58"/>
      <c r="K366" s="58"/>
      <c r="L366" s="58"/>
      <c r="M366" s="59"/>
      <c r="N366" s="59"/>
      <c r="O366" s="59"/>
      <c r="P366" s="60"/>
    </row>
    <row r="367" spans="1:16" ht="18" customHeight="1">
      <c r="A367" s="61">
        <v>1</v>
      </c>
      <c r="B367" s="62"/>
      <c r="C367" s="62" t="s">
        <v>139</v>
      </c>
      <c r="D367" s="62"/>
      <c r="E367" s="62"/>
      <c r="F367" s="62"/>
      <c r="G367" s="62"/>
      <c r="H367" s="62"/>
      <c r="I367" s="62"/>
      <c r="J367" s="62"/>
      <c r="K367" s="62"/>
      <c r="L367" s="62"/>
      <c r="M367" s="63"/>
      <c r="N367" s="63"/>
      <c r="O367" s="64"/>
      <c r="P367" s="65"/>
    </row>
    <row r="368" spans="1:16" ht="18" customHeight="1">
      <c r="A368" s="61"/>
      <c r="B368" s="62"/>
      <c r="C368" s="62"/>
      <c r="D368" s="62"/>
      <c r="E368" s="62"/>
      <c r="F368" s="62"/>
      <c r="G368" s="62"/>
      <c r="H368" s="62"/>
      <c r="I368" s="62"/>
      <c r="J368" s="62"/>
      <c r="K368" s="62"/>
      <c r="L368" s="62"/>
      <c r="M368" s="63"/>
      <c r="N368" s="63"/>
      <c r="O368" s="63"/>
      <c r="P368" s="66"/>
    </row>
    <row r="369" spans="1:16" ht="18" customHeight="1">
      <c r="A369" s="67"/>
      <c r="B369" s="68"/>
      <c r="C369" s="68"/>
      <c r="D369" s="68"/>
      <c r="E369" s="68"/>
      <c r="F369" s="68"/>
      <c r="G369" s="68"/>
      <c r="H369" s="68"/>
      <c r="I369" s="68"/>
      <c r="J369" s="68"/>
      <c r="K369" s="68"/>
      <c r="L369" s="68"/>
      <c r="M369" s="69"/>
      <c r="N369" s="69"/>
      <c r="O369" s="69"/>
      <c r="P369" s="70"/>
    </row>
    <row r="370" spans="1:16" ht="18" customHeight="1">
      <c r="A370" s="71">
        <v>2</v>
      </c>
      <c r="B370" s="72"/>
      <c r="C370" s="72" t="s">
        <v>140</v>
      </c>
      <c r="D370" s="72"/>
      <c r="E370" s="72"/>
      <c r="F370" s="72"/>
      <c r="G370" s="72"/>
      <c r="H370" s="72"/>
      <c r="I370" s="72"/>
      <c r="J370" s="72"/>
      <c r="K370" s="72"/>
      <c r="L370" s="72"/>
      <c r="M370" s="64"/>
      <c r="N370" s="64"/>
      <c r="O370" s="64"/>
      <c r="P370" s="65"/>
    </row>
    <row r="371" spans="1:16" ht="18" customHeight="1">
      <c r="A371" s="61"/>
      <c r="B371" s="62"/>
      <c r="C371" s="62"/>
      <c r="D371" s="62"/>
      <c r="E371" s="62"/>
      <c r="F371" s="62"/>
      <c r="G371" s="62"/>
      <c r="H371" s="62"/>
      <c r="I371" s="62"/>
      <c r="J371" s="62"/>
      <c r="K371" s="62"/>
      <c r="L371" s="62"/>
      <c r="M371" s="63"/>
      <c r="N371" s="63"/>
      <c r="O371" s="63"/>
      <c r="P371" s="66"/>
    </row>
    <row r="372" spans="1:16" ht="18" customHeight="1">
      <c r="A372" s="67"/>
      <c r="B372" s="68"/>
      <c r="C372" s="68"/>
      <c r="D372" s="68"/>
      <c r="E372" s="68"/>
      <c r="F372" s="68"/>
      <c r="G372" s="68"/>
      <c r="H372" s="68"/>
      <c r="I372" s="68"/>
      <c r="J372" s="68"/>
      <c r="K372" s="68"/>
      <c r="L372" s="68"/>
      <c r="M372" s="69"/>
      <c r="N372" s="69"/>
      <c r="O372" s="69"/>
      <c r="P372" s="70"/>
    </row>
    <row r="373" spans="1:16" ht="18" customHeight="1">
      <c r="A373" s="71">
        <v>3</v>
      </c>
      <c r="B373" s="72"/>
      <c r="C373" s="72" t="s">
        <v>141</v>
      </c>
      <c r="D373" s="72"/>
      <c r="E373" s="72"/>
      <c r="F373" s="72"/>
      <c r="G373" s="72"/>
      <c r="H373" s="72"/>
      <c r="I373" s="72"/>
      <c r="J373" s="72"/>
      <c r="K373" s="72"/>
      <c r="L373" s="72"/>
      <c r="M373" s="64"/>
      <c r="N373" s="64"/>
      <c r="O373" s="64"/>
      <c r="P373" s="65"/>
    </row>
    <row r="374" spans="1:16" ht="18" customHeight="1">
      <c r="A374" s="61"/>
      <c r="B374" s="62"/>
      <c r="C374" s="62"/>
      <c r="D374" s="62"/>
      <c r="E374" s="62"/>
      <c r="F374" s="62"/>
      <c r="G374" s="62"/>
      <c r="H374" s="62"/>
      <c r="I374" s="62"/>
      <c r="J374" s="62"/>
      <c r="K374" s="62"/>
      <c r="L374" s="62"/>
      <c r="M374" s="63"/>
      <c r="N374" s="63"/>
      <c r="O374" s="63"/>
      <c r="P374" s="66"/>
    </row>
    <row r="375" spans="1:16" ht="18" customHeight="1">
      <c r="A375" s="67"/>
      <c r="B375" s="68"/>
      <c r="C375" s="68"/>
      <c r="D375" s="68"/>
      <c r="E375" s="68"/>
      <c r="F375" s="68"/>
      <c r="G375" s="68"/>
      <c r="H375" s="68"/>
      <c r="I375" s="68"/>
      <c r="J375" s="68"/>
      <c r="K375" s="68"/>
      <c r="L375" s="68"/>
      <c r="M375" s="69"/>
      <c r="N375" s="69"/>
      <c r="O375" s="69"/>
      <c r="P375" s="70"/>
    </row>
    <row r="376" spans="1:16" ht="18" customHeight="1">
      <c r="A376" s="73"/>
      <c r="B376" s="73"/>
      <c r="C376" s="73"/>
      <c r="D376" s="73"/>
      <c r="E376" s="73"/>
      <c r="F376" s="73"/>
      <c r="G376" s="73"/>
      <c r="H376" s="73"/>
      <c r="I376" s="73"/>
      <c r="J376" s="62"/>
      <c r="K376" s="62"/>
      <c r="L376" s="73"/>
      <c r="M376" s="63"/>
      <c r="N376" s="63"/>
      <c r="O376" s="63"/>
      <c r="P376" s="74" t="s">
        <v>142</v>
      </c>
    </row>
    <row r="377" spans="1:16" ht="18" customHeight="1">
      <c r="A377" s="73"/>
      <c r="B377" s="73"/>
      <c r="C377" s="73"/>
      <c r="D377" s="73"/>
      <c r="E377" s="73"/>
      <c r="F377" s="73"/>
      <c r="G377" s="73"/>
      <c r="H377" s="73"/>
      <c r="I377" s="73"/>
      <c r="J377" s="75"/>
      <c r="K377" s="75"/>
      <c r="L377" s="73"/>
      <c r="M377" s="63"/>
      <c r="N377" s="63"/>
      <c r="O377" s="63"/>
      <c r="P377" s="76"/>
    </row>
    <row r="378" spans="1:16" ht="18" customHeight="1">
      <c r="A378" s="73"/>
      <c r="B378" s="73"/>
      <c r="C378" s="73"/>
      <c r="D378" s="73"/>
      <c r="E378" s="73"/>
      <c r="F378" s="73"/>
      <c r="G378" s="73"/>
      <c r="H378" s="73"/>
      <c r="I378" s="73"/>
      <c r="J378" s="75"/>
      <c r="K378" s="75"/>
      <c r="L378" s="73"/>
      <c r="M378" s="63"/>
      <c r="N378" s="63"/>
      <c r="O378" s="63"/>
      <c r="P378" s="77" t="s">
        <v>143</v>
      </c>
    </row>
    <row r="379" spans="1:16" ht="18" customHeight="1">
      <c r="A379" s="73"/>
      <c r="B379" s="73"/>
      <c r="C379" s="73"/>
      <c r="D379" s="73"/>
      <c r="E379" s="73"/>
      <c r="F379" s="73"/>
      <c r="G379" s="73"/>
      <c r="H379" s="73"/>
      <c r="I379" s="73"/>
      <c r="J379" s="78"/>
      <c r="K379" s="78"/>
      <c r="L379" s="73"/>
      <c r="M379" s="63"/>
      <c r="N379" s="63"/>
      <c r="O379" s="63"/>
      <c r="P379" s="79"/>
    </row>
    <row r="380" spans="1:16" ht="18" customHeight="1">
      <c r="A380" s="62"/>
      <c r="B380" s="62"/>
      <c r="C380" s="62"/>
      <c r="D380" s="62"/>
      <c r="E380" s="62"/>
      <c r="F380" s="63"/>
      <c r="G380" s="63"/>
      <c r="H380" s="63"/>
      <c r="I380" s="63"/>
      <c r="J380" s="63"/>
      <c r="K380" s="63"/>
      <c r="L380" s="63"/>
      <c r="M380" s="63"/>
      <c r="N380" s="63"/>
      <c r="O380" s="63"/>
      <c r="P380" s="63"/>
    </row>
    <row r="381" spans="1:16" ht="18" customHeight="1">
      <c r="A381" s="62" t="s">
        <v>282</v>
      </c>
      <c r="B381" s="62"/>
      <c r="C381" s="62"/>
      <c r="D381" s="62"/>
      <c r="E381" s="62"/>
      <c r="F381" s="63"/>
      <c r="G381" s="63"/>
      <c r="H381" s="63"/>
      <c r="I381" s="63"/>
      <c r="J381" s="63"/>
      <c r="K381" s="63"/>
      <c r="L381" s="63"/>
      <c r="M381" s="63"/>
      <c r="N381" s="63"/>
      <c r="O381" s="63"/>
      <c r="P381" s="63"/>
    </row>
    <row r="382" spans="1:16" ht="18" customHeight="1">
      <c r="A382" s="102" t="s">
        <v>93</v>
      </c>
      <c r="B382" s="58"/>
      <c r="C382" s="58"/>
      <c r="D382" s="58"/>
      <c r="E382" s="58"/>
      <c r="F382" s="58" t="s">
        <v>94</v>
      </c>
      <c r="G382" s="58"/>
      <c r="H382" s="58"/>
      <c r="I382" s="58"/>
      <c r="J382" s="58"/>
      <c r="K382" s="58"/>
      <c r="L382" s="58"/>
      <c r="M382" s="59"/>
      <c r="N382" s="59"/>
      <c r="O382" s="59"/>
      <c r="P382" s="60"/>
    </row>
    <row r="383" spans="1:16" ht="18" customHeight="1">
      <c r="A383" s="61">
        <v>1</v>
      </c>
      <c r="B383" s="62"/>
      <c r="C383" s="62" t="s">
        <v>144</v>
      </c>
      <c r="D383" s="62"/>
      <c r="E383" s="62"/>
      <c r="F383" s="62"/>
      <c r="G383" s="62"/>
      <c r="H383" s="62"/>
      <c r="I383" s="62"/>
      <c r="J383" s="62"/>
      <c r="K383" s="62"/>
      <c r="L383" s="62"/>
      <c r="M383" s="63"/>
      <c r="N383" s="63"/>
      <c r="O383" s="64"/>
      <c r="P383" s="65"/>
    </row>
    <row r="384" spans="1:16" ht="18" customHeight="1">
      <c r="A384" s="61"/>
      <c r="B384" s="62"/>
      <c r="C384" s="62"/>
      <c r="D384" s="62"/>
      <c r="E384" s="62"/>
      <c r="F384" s="62"/>
      <c r="G384" s="62"/>
      <c r="H384" s="62"/>
      <c r="I384" s="62"/>
      <c r="J384" s="62"/>
      <c r="K384" s="62"/>
      <c r="L384" s="62"/>
      <c r="M384" s="63"/>
      <c r="N384" s="63"/>
      <c r="O384" s="63"/>
      <c r="P384" s="66"/>
    </row>
    <row r="385" spans="1:16" ht="18" customHeight="1">
      <c r="A385" s="67"/>
      <c r="B385" s="68"/>
      <c r="C385" s="68"/>
      <c r="D385" s="68"/>
      <c r="E385" s="68"/>
      <c r="F385" s="68"/>
      <c r="G385" s="68"/>
      <c r="H385" s="68"/>
      <c r="I385" s="68"/>
      <c r="J385" s="68"/>
      <c r="K385" s="68"/>
      <c r="L385" s="68"/>
      <c r="M385" s="69"/>
      <c r="N385" s="69"/>
      <c r="O385" s="69"/>
      <c r="P385" s="70"/>
    </row>
    <row r="386" spans="1:16" ht="18" customHeight="1">
      <c r="A386" s="71">
        <v>2</v>
      </c>
      <c r="B386" s="72"/>
      <c r="C386" s="72" t="s">
        <v>145</v>
      </c>
      <c r="D386" s="72"/>
      <c r="E386" s="72"/>
      <c r="F386" s="72"/>
      <c r="G386" s="72"/>
      <c r="H386" s="72"/>
      <c r="I386" s="72"/>
      <c r="J386" s="72"/>
      <c r="K386" s="72"/>
      <c r="L386" s="72"/>
      <c r="M386" s="64"/>
      <c r="N386" s="64"/>
      <c r="O386" s="64"/>
      <c r="P386" s="65"/>
    </row>
    <row r="387" spans="1:16" ht="18" customHeight="1">
      <c r="A387" s="61"/>
      <c r="B387" s="62"/>
      <c r="C387" s="62"/>
      <c r="D387" s="62"/>
      <c r="E387" s="62"/>
      <c r="F387" s="62"/>
      <c r="G387" s="62"/>
      <c r="H387" s="62"/>
      <c r="I387" s="62"/>
      <c r="J387" s="62"/>
      <c r="K387" s="62"/>
      <c r="L387" s="62"/>
      <c r="M387" s="63"/>
      <c r="N387" s="63"/>
      <c r="O387" s="63"/>
      <c r="P387" s="66"/>
    </row>
    <row r="388" spans="1:16" ht="18" customHeight="1">
      <c r="A388" s="67"/>
      <c r="B388" s="68"/>
      <c r="C388" s="68"/>
      <c r="D388" s="68"/>
      <c r="E388" s="68"/>
      <c r="F388" s="68"/>
      <c r="G388" s="68"/>
      <c r="H388" s="68"/>
      <c r="I388" s="68"/>
      <c r="J388" s="68"/>
      <c r="K388" s="68"/>
      <c r="L388" s="68"/>
      <c r="M388" s="69"/>
      <c r="N388" s="69"/>
      <c r="O388" s="69"/>
      <c r="P388" s="70"/>
    </row>
    <row r="389" spans="1:16" ht="18" customHeight="1">
      <c r="A389" s="73"/>
      <c r="B389" s="73"/>
      <c r="C389" s="73"/>
      <c r="D389" s="73"/>
      <c r="E389" s="73"/>
      <c r="F389" s="73"/>
      <c r="G389" s="73"/>
      <c r="H389" s="73"/>
      <c r="I389" s="73"/>
      <c r="J389" s="62"/>
      <c r="K389" s="62"/>
      <c r="L389" s="73"/>
      <c r="M389" s="63"/>
      <c r="N389" s="63"/>
      <c r="O389" s="63"/>
      <c r="P389" s="74" t="s">
        <v>142</v>
      </c>
    </row>
    <row r="390" spans="1:16" ht="18" customHeight="1">
      <c r="A390" s="73"/>
      <c r="B390" s="73"/>
      <c r="C390" s="73"/>
      <c r="D390" s="73"/>
      <c r="E390" s="73"/>
      <c r="F390" s="73"/>
      <c r="G390" s="73"/>
      <c r="H390" s="73"/>
      <c r="I390" s="73"/>
      <c r="J390" s="75"/>
      <c r="K390" s="75"/>
      <c r="L390" s="73"/>
      <c r="M390" s="63"/>
      <c r="N390" s="63"/>
      <c r="O390" s="63"/>
      <c r="P390" s="76"/>
    </row>
    <row r="391" spans="1:16" ht="18" customHeight="1">
      <c r="A391" s="73"/>
      <c r="B391" s="73"/>
      <c r="C391" s="73"/>
      <c r="D391" s="73"/>
      <c r="E391" s="73"/>
      <c r="F391" s="73"/>
      <c r="G391" s="73"/>
      <c r="H391" s="73"/>
      <c r="I391" s="73"/>
      <c r="J391" s="75"/>
      <c r="K391" s="75"/>
      <c r="L391" s="73"/>
      <c r="M391" s="63"/>
      <c r="N391" s="63"/>
      <c r="O391" s="63"/>
      <c r="P391" s="77" t="s">
        <v>143</v>
      </c>
    </row>
    <row r="392" spans="1:16" ht="18" customHeight="1">
      <c r="A392" s="73"/>
      <c r="B392" s="73"/>
      <c r="C392" s="73"/>
      <c r="D392" s="73"/>
      <c r="E392" s="73"/>
      <c r="F392" s="73"/>
      <c r="G392" s="73"/>
      <c r="H392" s="73"/>
      <c r="I392" s="73"/>
      <c r="J392" s="78"/>
      <c r="K392" s="78"/>
      <c r="L392" s="73"/>
      <c r="M392" s="63"/>
      <c r="N392" s="63"/>
      <c r="O392" s="63"/>
      <c r="P392" s="77"/>
    </row>
    <row r="393" spans="1:16" ht="18" customHeight="1">
      <c r="A393" s="73"/>
      <c r="B393" s="73"/>
      <c r="C393" s="73"/>
      <c r="D393" s="73"/>
      <c r="E393" s="73"/>
      <c r="F393" s="73"/>
      <c r="G393" s="73"/>
      <c r="H393" s="73"/>
      <c r="I393" s="73"/>
      <c r="J393" s="75"/>
      <c r="K393" s="75"/>
      <c r="L393" s="73"/>
      <c r="M393" s="63"/>
      <c r="N393" s="63"/>
      <c r="O393" s="63"/>
      <c r="P393" s="64"/>
    </row>
    <row r="394" spans="1:16" ht="18" customHeight="1">
      <c r="A394" s="62" t="s">
        <v>95</v>
      </c>
      <c r="B394" s="62"/>
      <c r="C394" s="62"/>
      <c r="D394" s="62"/>
      <c r="E394" s="62"/>
      <c r="F394" s="63"/>
      <c r="G394" s="63"/>
      <c r="H394" s="63"/>
      <c r="I394" s="63"/>
      <c r="J394" s="63"/>
      <c r="K394" s="63"/>
      <c r="L394" s="63"/>
      <c r="M394" s="63"/>
      <c r="N394" s="63"/>
      <c r="O394" s="63"/>
      <c r="P394" s="63"/>
    </row>
    <row r="395" spans="1:16" ht="18" customHeight="1">
      <c r="A395" s="102" t="s">
        <v>93</v>
      </c>
      <c r="B395" s="58"/>
      <c r="C395" s="58"/>
      <c r="D395" s="58"/>
      <c r="E395" s="58"/>
      <c r="F395" s="58" t="s">
        <v>94</v>
      </c>
      <c r="G395" s="58"/>
      <c r="H395" s="58"/>
      <c r="I395" s="58"/>
      <c r="J395" s="58"/>
      <c r="K395" s="58"/>
      <c r="L395" s="58"/>
      <c r="M395" s="59"/>
      <c r="N395" s="59"/>
      <c r="O395" s="59"/>
      <c r="P395" s="60"/>
    </row>
    <row r="396" spans="1:16" ht="18" customHeight="1">
      <c r="A396" s="61">
        <v>1</v>
      </c>
      <c r="B396" s="62"/>
      <c r="C396" s="62" t="s">
        <v>146</v>
      </c>
      <c r="D396" s="62"/>
      <c r="E396" s="62"/>
      <c r="F396" s="62"/>
      <c r="G396" s="62"/>
      <c r="H396" s="62"/>
      <c r="I396" s="62"/>
      <c r="J396" s="62"/>
      <c r="K396" s="62"/>
      <c r="L396" s="62"/>
      <c r="M396" s="63"/>
      <c r="N396" s="63"/>
      <c r="O396" s="64"/>
      <c r="P396" s="65"/>
    </row>
    <row r="397" spans="1:16" ht="18" customHeight="1">
      <c r="A397" s="61"/>
      <c r="B397" s="62"/>
      <c r="C397" s="62"/>
      <c r="D397" s="62"/>
      <c r="E397" s="62"/>
      <c r="F397" s="62"/>
      <c r="G397" s="62"/>
      <c r="H397" s="62"/>
      <c r="I397" s="62"/>
      <c r="J397" s="62"/>
      <c r="K397" s="62"/>
      <c r="L397" s="62"/>
      <c r="M397" s="63"/>
      <c r="N397" s="63"/>
      <c r="O397" s="63"/>
      <c r="P397" s="66"/>
    </row>
    <row r="398" spans="1:16" ht="18" customHeight="1">
      <c r="A398" s="67"/>
      <c r="B398" s="68"/>
      <c r="C398" s="68"/>
      <c r="D398" s="68"/>
      <c r="E398" s="68"/>
      <c r="F398" s="68"/>
      <c r="G398" s="68"/>
      <c r="H398" s="68"/>
      <c r="I398" s="68"/>
      <c r="J398" s="68"/>
      <c r="K398" s="68"/>
      <c r="L398" s="68"/>
      <c r="M398" s="69"/>
      <c r="N398" s="69"/>
      <c r="O398" s="69"/>
      <c r="P398" s="70"/>
    </row>
    <row r="399" spans="1:16" ht="18" customHeight="1">
      <c r="A399" s="71">
        <v>2</v>
      </c>
      <c r="B399" s="72"/>
      <c r="C399" s="72" t="s">
        <v>147</v>
      </c>
      <c r="D399" s="72"/>
      <c r="E399" s="72"/>
      <c r="F399" s="72"/>
      <c r="G399" s="72"/>
      <c r="H399" s="72"/>
      <c r="I399" s="72"/>
      <c r="J399" s="72"/>
      <c r="K399" s="72"/>
      <c r="L399" s="72"/>
      <c r="M399" s="64"/>
      <c r="N399" s="64"/>
      <c r="O399" s="64"/>
      <c r="P399" s="65"/>
    </row>
    <row r="400" spans="1:16" ht="18" customHeight="1">
      <c r="A400" s="61"/>
      <c r="B400" s="62"/>
      <c r="C400" s="62"/>
      <c r="D400" s="62"/>
      <c r="E400" s="62"/>
      <c r="F400" s="62"/>
      <c r="G400" s="62"/>
      <c r="H400" s="62"/>
      <c r="I400" s="62"/>
      <c r="J400" s="62"/>
      <c r="K400" s="62"/>
      <c r="L400" s="62"/>
      <c r="M400" s="63"/>
      <c r="N400" s="63"/>
      <c r="O400" s="63"/>
      <c r="P400" s="66"/>
    </row>
    <row r="401" spans="1:16" ht="18" customHeight="1">
      <c r="A401" s="67"/>
      <c r="B401" s="68"/>
      <c r="C401" s="68"/>
      <c r="D401" s="68"/>
      <c r="E401" s="68"/>
      <c r="F401" s="68"/>
      <c r="G401" s="68"/>
      <c r="H401" s="68"/>
      <c r="I401" s="68"/>
      <c r="J401" s="68"/>
      <c r="K401" s="68"/>
      <c r="L401" s="68"/>
      <c r="M401" s="69"/>
      <c r="N401" s="69"/>
      <c r="O401" s="69"/>
      <c r="P401" s="70"/>
    </row>
    <row r="402" spans="1:16" ht="18" customHeight="1">
      <c r="A402" s="73"/>
      <c r="B402" s="73"/>
      <c r="C402" s="73"/>
      <c r="D402" s="73"/>
      <c r="E402" s="73"/>
      <c r="F402" s="73"/>
      <c r="G402" s="73"/>
      <c r="H402" s="73"/>
      <c r="I402" s="73"/>
      <c r="J402" s="62"/>
      <c r="K402" s="62"/>
      <c r="L402" s="73"/>
      <c r="M402" s="63"/>
      <c r="N402" s="63"/>
      <c r="O402" s="63"/>
      <c r="P402" s="74" t="s">
        <v>142</v>
      </c>
    </row>
    <row r="403" spans="1:16" ht="18" customHeight="1">
      <c r="A403" s="73"/>
      <c r="B403" s="73"/>
      <c r="C403" s="73"/>
      <c r="D403" s="73"/>
      <c r="E403" s="73"/>
      <c r="F403" s="73"/>
      <c r="G403" s="73"/>
      <c r="H403" s="73"/>
      <c r="I403" s="73"/>
      <c r="J403" s="75"/>
      <c r="K403" s="75"/>
      <c r="L403" s="73"/>
      <c r="M403" s="63"/>
      <c r="N403" s="63"/>
      <c r="O403" s="63"/>
      <c r="P403" s="76"/>
    </row>
    <row r="404" spans="1:16" ht="18" customHeight="1">
      <c r="A404" s="73"/>
      <c r="B404" s="73"/>
      <c r="C404" s="73"/>
      <c r="D404" s="73"/>
      <c r="E404" s="73"/>
      <c r="F404" s="73"/>
      <c r="G404" s="73"/>
      <c r="H404" s="73"/>
      <c r="I404" s="73"/>
      <c r="J404" s="78"/>
      <c r="K404" s="78"/>
      <c r="L404" s="73"/>
      <c r="M404" s="63"/>
      <c r="N404" s="63"/>
      <c r="O404" s="63"/>
      <c r="P404" s="77" t="s">
        <v>143</v>
      </c>
    </row>
    <row r="405" spans="1:16" ht="18" customHeight="1">
      <c r="A405" s="73"/>
      <c r="B405" s="73"/>
      <c r="C405" s="73"/>
      <c r="D405" s="73"/>
      <c r="E405" s="73"/>
      <c r="F405" s="73"/>
      <c r="G405" s="73"/>
      <c r="H405" s="73"/>
      <c r="I405" s="73"/>
      <c r="J405" s="78"/>
      <c r="K405" s="78"/>
      <c r="L405" s="73"/>
      <c r="M405" s="63"/>
      <c r="N405" s="63"/>
      <c r="O405" s="63"/>
      <c r="P405" s="77"/>
    </row>
    <row r="406" spans="1:16" ht="1.1499999999999999" customHeight="1">
      <c r="A406" s="73"/>
      <c r="B406" s="73"/>
      <c r="C406" s="73"/>
      <c r="D406" s="73"/>
      <c r="E406" s="73"/>
      <c r="F406" s="73"/>
      <c r="G406" s="73"/>
      <c r="H406" s="73"/>
      <c r="I406" s="73"/>
      <c r="J406" s="75"/>
      <c r="K406" s="75"/>
      <c r="L406" s="73"/>
      <c r="M406" s="63"/>
      <c r="N406" s="63"/>
      <c r="O406" s="63"/>
      <c r="P406" s="64"/>
    </row>
  </sheetData>
  <sheetProtection selectLockedCells="1"/>
  <mergeCells count="73">
    <mergeCell ref="A219:B219"/>
    <mergeCell ref="A345:C345"/>
    <mergeCell ref="Y83:AB83"/>
    <mergeCell ref="Y84:AB84"/>
    <mergeCell ref="Y85:AB85"/>
    <mergeCell ref="Y78:AB78"/>
    <mergeCell ref="Y79:AB79"/>
    <mergeCell ref="Y80:AB80"/>
    <mergeCell ref="Y81:AB81"/>
    <mergeCell ref="Y82:AB82"/>
    <mergeCell ref="Y73:AB73"/>
    <mergeCell ref="Y74:AB74"/>
    <mergeCell ref="Y75:AB75"/>
    <mergeCell ref="Y76:AB76"/>
    <mergeCell ref="Y77:AB77"/>
    <mergeCell ref="Y67:AB67"/>
    <mergeCell ref="Y68:AB68"/>
    <mergeCell ref="Y69:AB69"/>
    <mergeCell ref="Y70:AB70"/>
    <mergeCell ref="Y71:AB71"/>
    <mergeCell ref="Y72:AB72"/>
    <mergeCell ref="A70:C70"/>
    <mergeCell ref="D70:I70"/>
    <mergeCell ref="J70:K70"/>
    <mergeCell ref="M70:N70"/>
    <mergeCell ref="O70:P70"/>
    <mergeCell ref="A72:C72"/>
    <mergeCell ref="D72:I72"/>
    <mergeCell ref="J72:K72"/>
    <mergeCell ref="M72:N72"/>
    <mergeCell ref="O72:P72"/>
    <mergeCell ref="A71:C71"/>
    <mergeCell ref="D71:I71"/>
    <mergeCell ref="J71:K71"/>
    <mergeCell ref="M71:N71"/>
    <mergeCell ref="O71:P71"/>
    <mergeCell ref="A69:C69"/>
    <mergeCell ref="D69:I69"/>
    <mergeCell ref="J69:K69"/>
    <mergeCell ref="M69:N69"/>
    <mergeCell ref="O69:P69"/>
    <mergeCell ref="A74:C74"/>
    <mergeCell ref="D74:I74"/>
    <mergeCell ref="J74:K74"/>
    <mergeCell ref="M74:N74"/>
    <mergeCell ref="O74:P74"/>
    <mergeCell ref="A73:C73"/>
    <mergeCell ref="D73:I73"/>
    <mergeCell ref="J73:K73"/>
    <mergeCell ref="M73:N73"/>
    <mergeCell ref="O73:P73"/>
    <mergeCell ref="A76:C76"/>
    <mergeCell ref="D76:I76"/>
    <mergeCell ref="J76:K76"/>
    <mergeCell ref="M76:N76"/>
    <mergeCell ref="O76:P76"/>
    <mergeCell ref="A75:C75"/>
    <mergeCell ref="D75:I75"/>
    <mergeCell ref="J75:K75"/>
    <mergeCell ref="M75:N75"/>
    <mergeCell ref="O75:P75"/>
    <mergeCell ref="M79:N79"/>
    <mergeCell ref="O79:P79"/>
    <mergeCell ref="A77:C77"/>
    <mergeCell ref="D77:I77"/>
    <mergeCell ref="J77:K77"/>
    <mergeCell ref="M77:N77"/>
    <mergeCell ref="O77:P77"/>
    <mergeCell ref="A78:C78"/>
    <mergeCell ref="D78:I78"/>
    <mergeCell ref="J78:K78"/>
    <mergeCell ref="M78:N78"/>
    <mergeCell ref="O78:P78"/>
  </mergeCells>
  <phoneticPr fontId="39"/>
  <dataValidations count="1">
    <dataValidation type="list" allowBlank="1" showInputMessage="1" showErrorMessage="1" sqref="R69:R81" xr:uid="{87FC3968-655F-4FA6-A037-EF178CECFEA5}">
      <formula1>$AD$108:$AD$109</formula1>
    </dataValidation>
  </dataValidations>
  <printOptions horizontalCentered="1" verticalCentered="1"/>
  <pageMargins left="0" right="0" top="0.35433070866141736" bottom="0.43307086614173229" header="0.31496062992125984" footer="0.31496062992125984"/>
  <pageSetup paperSize="9" fitToHeight="0" orientation="portrait" r:id="rId1"/>
  <headerFooter>
    <oddFooter>&amp;C&amp;P</oddFooter>
  </headerFooter>
  <rowBreaks count="5" manualBreakCount="5">
    <brk id="60" max="15" man="1"/>
    <brk id="119" max="15" man="1"/>
    <brk id="181" max="15" man="1"/>
    <brk id="244" max="16383" man="1"/>
    <brk id="361" max="16383" man="1"/>
  </rowBreaks>
  <colBreaks count="1" manualBreakCount="1">
    <brk id="15"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現在ページ印刷">
                <anchor moveWithCells="1" sizeWithCells="1">
                  <from>
                    <xdr:col>19</xdr:col>
                    <xdr:colOff>450850</xdr:colOff>
                    <xdr:row>11</xdr:row>
                    <xdr:rowOff>69850</xdr:rowOff>
                  </from>
                  <to>
                    <xdr:col>21</xdr:col>
                    <xdr:colOff>209550</xdr:colOff>
                    <xdr:row>17</xdr:row>
                    <xdr:rowOff>50800</xdr:rowOff>
                  </to>
                </anchor>
              </controlPr>
            </control>
          </mc:Choice>
        </mc:AlternateContent>
        <mc:AlternateContent xmlns:mc="http://schemas.openxmlformats.org/markup-compatibility/2006">
          <mc:Choice Requires="x14">
            <control shapeId="8195" r:id="rId5" name="Button 3">
              <controlPr defaultSize="0" print="0" autoFill="0" autoPict="0" macro="[0]!現在ページ2部印刷">
                <anchor moveWithCells="1" sizeWithCells="1">
                  <from>
                    <xdr:col>19</xdr:col>
                    <xdr:colOff>438150</xdr:colOff>
                    <xdr:row>20</xdr:row>
                    <xdr:rowOff>50800</xdr:rowOff>
                  </from>
                  <to>
                    <xdr:col>21</xdr:col>
                    <xdr:colOff>203200</xdr:colOff>
                    <xdr:row>26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A1:P43"/>
  <sheetViews>
    <sheetView view="pageBreakPreview" zoomScaleNormal="100" zoomScaleSheetLayoutView="100" workbookViewId="0">
      <selection activeCell="N14" sqref="N14"/>
    </sheetView>
  </sheetViews>
  <sheetFormatPr defaultColWidth="9" defaultRowHeight="13"/>
  <cols>
    <col min="1" max="1" width="4.453125" customWidth="1"/>
    <col min="2" max="2" width="3.453125" customWidth="1"/>
    <col min="3" max="3" width="10.08984375" customWidth="1"/>
    <col min="4" max="4" width="5.08984375" customWidth="1"/>
    <col min="5" max="5" width="4.90625" customWidth="1"/>
    <col min="6" max="7" width="8.453125" customWidth="1"/>
    <col min="8" max="8" width="1.7265625" customWidth="1"/>
    <col min="9" max="9" width="3.453125" customWidth="1"/>
    <col min="10" max="10" width="7.453125" customWidth="1"/>
    <col min="11" max="11" width="1.90625" customWidth="1"/>
    <col min="12" max="12" width="6.26953125" customWidth="1"/>
    <col min="13" max="13" width="8.26953125" customWidth="1"/>
    <col min="14" max="14" width="2.453125" customWidth="1"/>
    <col min="15" max="15" width="3.08984375" customWidth="1"/>
    <col min="16" max="16" width="8.453125" customWidth="1"/>
  </cols>
  <sheetData>
    <row r="1" spans="1:16" ht="18.75" customHeight="1">
      <c r="A1" s="99" t="s">
        <v>96</v>
      </c>
      <c r="B1" s="99"/>
      <c r="C1" s="99"/>
      <c r="D1" s="99"/>
      <c r="E1" s="99"/>
      <c r="F1" s="2"/>
      <c r="G1" s="2"/>
      <c r="H1" s="2"/>
      <c r="I1" s="2"/>
      <c r="J1" s="2"/>
      <c r="K1" s="2"/>
      <c r="L1" s="2"/>
      <c r="M1" s="2"/>
      <c r="N1" s="2"/>
      <c r="O1" s="2"/>
      <c r="P1" s="2"/>
    </row>
    <row r="2" spans="1:16" ht="18.75" customHeight="1">
      <c r="A2" s="99"/>
      <c r="B2" s="99"/>
      <c r="C2" s="99"/>
      <c r="D2" s="99"/>
      <c r="E2" s="99"/>
      <c r="F2" s="2"/>
      <c r="G2" s="2"/>
      <c r="H2" s="2"/>
      <c r="I2" s="2"/>
      <c r="J2" s="2"/>
      <c r="K2" s="2"/>
      <c r="L2" s="2"/>
      <c r="M2" s="2"/>
      <c r="N2" s="2"/>
      <c r="O2" s="2"/>
      <c r="P2" s="2"/>
    </row>
    <row r="3" spans="1:16" ht="18.75" customHeight="1">
      <c r="A3" s="99"/>
      <c r="B3" s="99"/>
      <c r="C3" s="99"/>
      <c r="D3" s="99"/>
      <c r="E3" s="99"/>
      <c r="F3" s="2"/>
      <c r="G3" s="2"/>
      <c r="H3" s="2"/>
      <c r="I3" s="2"/>
      <c r="J3" s="2"/>
      <c r="K3" s="2"/>
      <c r="L3" s="2"/>
      <c r="M3" s="2"/>
      <c r="N3" s="2"/>
      <c r="O3" s="2"/>
      <c r="P3" s="2"/>
    </row>
    <row r="4" spans="1:16" ht="18.75" customHeight="1">
      <c r="A4" s="99"/>
      <c r="B4" s="99"/>
      <c r="C4" s="99"/>
      <c r="D4" s="99"/>
      <c r="E4" s="99"/>
      <c r="F4" s="2"/>
      <c r="G4" s="2"/>
      <c r="H4" s="2"/>
      <c r="I4" s="2"/>
      <c r="J4" s="2"/>
      <c r="K4" s="2"/>
      <c r="L4" s="2"/>
      <c r="M4" s="2"/>
      <c r="N4" s="2"/>
      <c r="O4" s="2"/>
      <c r="P4" s="2"/>
    </row>
    <row r="5" spans="1:16" ht="18" customHeight="1">
      <c r="A5" s="80"/>
      <c r="B5" s="80"/>
      <c r="C5" s="80"/>
      <c r="D5" s="80"/>
      <c r="E5" s="80"/>
    </row>
    <row r="6" spans="1:16" ht="18" customHeight="1">
      <c r="A6" s="80"/>
      <c r="B6" s="80"/>
      <c r="C6" s="80"/>
      <c r="D6" s="80"/>
      <c r="E6" s="80"/>
    </row>
    <row r="7" spans="1:16" ht="18" customHeight="1">
      <c r="A7" s="81" t="s">
        <v>97</v>
      </c>
      <c r="B7" s="81"/>
      <c r="C7" s="81"/>
      <c r="D7" s="81"/>
      <c r="E7" s="81"/>
    </row>
    <row r="8" spans="1:16" ht="18" customHeight="1">
      <c r="A8" s="82"/>
      <c r="B8" s="82"/>
      <c r="C8" s="82"/>
      <c r="D8" s="82"/>
      <c r="E8" s="82"/>
    </row>
    <row r="9" spans="1:16" ht="18" customHeight="1">
      <c r="A9" s="82"/>
      <c r="B9" s="82"/>
      <c r="C9" s="82"/>
      <c r="D9" s="82"/>
      <c r="E9" s="82"/>
    </row>
    <row r="10" spans="1:16" ht="18" customHeight="1">
      <c r="A10" s="81" t="s">
        <v>98</v>
      </c>
      <c r="B10" s="81"/>
      <c r="C10" s="81"/>
      <c r="D10" s="81"/>
      <c r="E10" s="81"/>
    </row>
    <row r="11" spans="1:16" ht="18" customHeight="1">
      <c r="A11" s="82"/>
      <c r="B11" s="82"/>
      <c r="C11" s="82"/>
      <c r="D11" s="82"/>
      <c r="E11" s="82"/>
    </row>
    <row r="12" spans="1:16" ht="18" customHeight="1">
      <c r="A12" s="81" t="s">
        <v>99</v>
      </c>
      <c r="B12" s="81"/>
      <c r="C12" s="81"/>
      <c r="D12" s="81"/>
      <c r="E12" s="81"/>
    </row>
    <row r="13" spans="1:16" ht="18" customHeight="1">
      <c r="A13" s="81" t="s">
        <v>100</v>
      </c>
      <c r="B13" s="81"/>
      <c r="C13" s="81"/>
      <c r="D13" s="81"/>
      <c r="E13" s="81"/>
    </row>
    <row r="14" spans="1:16" ht="18" customHeight="1">
      <c r="A14" s="81" t="s">
        <v>101</v>
      </c>
      <c r="B14" s="81"/>
      <c r="C14" s="81"/>
      <c r="D14" s="81"/>
      <c r="E14" s="81"/>
    </row>
    <row r="15" spans="1:16" ht="18" customHeight="1">
      <c r="A15" s="82"/>
      <c r="B15" s="82"/>
      <c r="C15" s="82"/>
      <c r="D15" s="82"/>
      <c r="E15" s="82"/>
    </row>
    <row r="16" spans="1:16" ht="18" customHeight="1">
      <c r="A16" s="82"/>
      <c r="B16" s="82"/>
      <c r="C16" s="82"/>
      <c r="D16" s="82"/>
      <c r="E16" s="82"/>
    </row>
    <row r="17" spans="1:16" ht="18" customHeight="1">
      <c r="A17" s="81" t="s">
        <v>102</v>
      </c>
      <c r="B17" s="81"/>
      <c r="C17" s="81"/>
      <c r="D17" s="81"/>
      <c r="E17" s="81"/>
    </row>
    <row r="18" spans="1:16" ht="18" customHeight="1">
      <c r="A18" s="81" t="s">
        <v>261</v>
      </c>
      <c r="B18" s="81"/>
      <c r="C18" s="81"/>
      <c r="D18" s="81"/>
      <c r="E18" s="81"/>
    </row>
    <row r="19" spans="1:16" ht="18" customHeight="1">
      <c r="A19" s="81" t="s">
        <v>262</v>
      </c>
      <c r="B19" s="81"/>
      <c r="C19" s="81"/>
      <c r="D19" s="81"/>
      <c r="E19" s="81"/>
    </row>
    <row r="20" spans="1:16" ht="18" customHeight="1">
      <c r="A20" s="81" t="s">
        <v>263</v>
      </c>
      <c r="B20" s="81"/>
      <c r="C20" s="81"/>
      <c r="D20" s="81"/>
      <c r="E20" s="81"/>
    </row>
    <row r="21" spans="1:16" ht="18" customHeight="1">
      <c r="A21" s="81" t="s">
        <v>103</v>
      </c>
      <c r="B21" s="81"/>
      <c r="C21" s="81"/>
      <c r="D21" s="81"/>
      <c r="E21" s="81"/>
    </row>
    <row r="22" spans="1:16" ht="18" customHeight="1">
      <c r="A22" s="81" t="s">
        <v>255</v>
      </c>
      <c r="B22" s="81"/>
      <c r="C22" s="81"/>
      <c r="D22" s="81"/>
      <c r="E22" s="81"/>
    </row>
    <row r="23" spans="1:16" ht="18" customHeight="1">
      <c r="A23" s="81" t="s">
        <v>284</v>
      </c>
      <c r="B23" s="81"/>
      <c r="C23" s="81"/>
      <c r="D23" s="81"/>
      <c r="E23" s="81"/>
    </row>
    <row r="24" spans="1:16" ht="18" customHeight="1">
      <c r="A24" s="81" t="s">
        <v>285</v>
      </c>
      <c r="B24" s="81"/>
      <c r="C24" s="82"/>
      <c r="D24" s="82"/>
      <c r="E24" s="82"/>
    </row>
    <row r="25" spans="1:16" ht="18" customHeight="1">
      <c r="A25" s="81" t="s">
        <v>286</v>
      </c>
      <c r="B25" s="81"/>
      <c r="C25" s="82"/>
      <c r="D25" s="82"/>
      <c r="E25" s="82"/>
    </row>
    <row r="26" spans="1:16" ht="18" customHeight="1">
      <c r="A26" s="52"/>
      <c r="B26" s="52"/>
      <c r="C26" s="82"/>
      <c r="D26" s="82"/>
      <c r="E26" s="82"/>
    </row>
    <row r="27" spans="1:16" ht="18" customHeight="1">
      <c r="A27" s="52" t="s">
        <v>256</v>
      </c>
      <c r="B27" s="52"/>
      <c r="C27" s="83"/>
      <c r="D27" s="83"/>
      <c r="E27" s="83"/>
      <c r="F27" s="2"/>
      <c r="G27" s="2"/>
      <c r="H27" s="2"/>
      <c r="I27" s="2"/>
      <c r="J27" s="2"/>
      <c r="K27" s="2"/>
      <c r="L27" s="2"/>
      <c r="M27" s="2"/>
      <c r="N27" s="2"/>
      <c r="O27" s="2"/>
      <c r="P27" s="2"/>
    </row>
    <row r="28" spans="1:16" ht="18" customHeight="1">
      <c r="A28" s="52" t="s">
        <v>257</v>
      </c>
      <c r="B28" s="52"/>
      <c r="C28" s="83"/>
      <c r="D28" s="83"/>
      <c r="E28" s="83"/>
      <c r="F28" s="2"/>
      <c r="G28" s="2"/>
      <c r="H28" s="2"/>
      <c r="I28" s="2"/>
      <c r="J28" s="2"/>
      <c r="K28" s="2"/>
      <c r="L28" s="2"/>
      <c r="M28" s="2"/>
      <c r="N28" s="2"/>
      <c r="O28" s="2"/>
      <c r="P28" s="2"/>
    </row>
    <row r="29" spans="1:16" ht="18" customHeight="1">
      <c r="A29" s="52" t="s">
        <v>258</v>
      </c>
      <c r="B29" s="52"/>
      <c r="C29" s="83"/>
      <c r="D29" s="83"/>
      <c r="E29" s="83"/>
      <c r="F29" s="2"/>
      <c r="G29" s="2"/>
      <c r="H29" s="2"/>
      <c r="I29" s="2"/>
      <c r="J29" s="2"/>
      <c r="K29" s="2"/>
      <c r="L29" s="2"/>
      <c r="M29" s="2"/>
      <c r="N29" s="2"/>
      <c r="O29" s="2"/>
      <c r="P29" s="2"/>
    </row>
    <row r="30" spans="1:16" ht="18" customHeight="1">
      <c r="A30" s="52" t="s">
        <v>259</v>
      </c>
      <c r="B30" s="52"/>
      <c r="C30" s="83"/>
      <c r="D30" s="83"/>
      <c r="E30" s="83"/>
      <c r="F30" s="2"/>
      <c r="G30" s="2"/>
      <c r="H30" s="2"/>
      <c r="I30" s="2"/>
      <c r="J30" s="2"/>
      <c r="K30" s="2"/>
      <c r="L30" s="2"/>
      <c r="M30" s="2"/>
      <c r="N30" s="2"/>
      <c r="O30" s="2"/>
      <c r="P30" s="2"/>
    </row>
    <row r="31" spans="1:16" ht="18" customHeight="1">
      <c r="A31" s="52" t="s">
        <v>260</v>
      </c>
      <c r="B31" s="52"/>
      <c r="C31" s="83"/>
      <c r="D31" s="83"/>
      <c r="E31" s="83"/>
      <c r="F31" s="2"/>
      <c r="G31" s="2"/>
      <c r="H31" s="2"/>
      <c r="I31" s="2"/>
      <c r="J31" s="2"/>
      <c r="K31" s="2"/>
      <c r="L31" s="2"/>
      <c r="M31" s="2"/>
      <c r="N31" s="2"/>
      <c r="O31" s="2"/>
      <c r="P31" s="2"/>
    </row>
    <row r="32" spans="1:16" ht="18" customHeight="1">
      <c r="A32" s="52" t="s">
        <v>152</v>
      </c>
      <c r="B32" s="52"/>
      <c r="C32" s="83"/>
      <c r="D32" s="83"/>
      <c r="E32" s="83"/>
      <c r="F32" s="2"/>
      <c r="G32" s="2"/>
      <c r="H32" s="2"/>
      <c r="I32" s="2"/>
      <c r="J32" s="2"/>
      <c r="K32" s="2"/>
      <c r="L32" s="2"/>
      <c r="M32" s="2"/>
      <c r="N32" s="2"/>
      <c r="O32" s="2"/>
      <c r="P32" s="2"/>
    </row>
    <row r="33" spans="1:16" ht="18" customHeight="1">
      <c r="A33" s="84" t="s">
        <v>104</v>
      </c>
      <c r="B33" s="84"/>
      <c r="C33" s="85"/>
      <c r="D33" s="85"/>
      <c r="E33" s="85"/>
      <c r="F33" s="2"/>
      <c r="G33" s="2"/>
      <c r="H33" s="2"/>
      <c r="I33" s="2"/>
      <c r="J33" s="2"/>
      <c r="K33" s="2"/>
      <c r="L33" s="2"/>
      <c r="M33" s="2"/>
      <c r="N33" s="2"/>
      <c r="O33" s="2"/>
      <c r="P33" s="2"/>
    </row>
    <row r="34" spans="1:16" ht="18" customHeight="1">
      <c r="A34" s="86"/>
      <c r="B34" s="86"/>
      <c r="C34" s="87"/>
      <c r="D34" s="87"/>
      <c r="E34" s="87"/>
      <c r="F34" s="2"/>
      <c r="G34" s="2"/>
      <c r="H34" s="2"/>
      <c r="I34" s="2"/>
      <c r="J34" s="2"/>
      <c r="K34" s="2"/>
      <c r="L34" s="2"/>
      <c r="M34" s="2"/>
      <c r="N34" s="2"/>
      <c r="O34" s="2"/>
      <c r="P34" s="2"/>
    </row>
    <row r="35" spans="1:16" ht="18" customHeight="1">
      <c r="A35" s="87"/>
      <c r="B35" s="87"/>
      <c r="C35" s="87"/>
      <c r="D35" s="87"/>
      <c r="E35" s="87"/>
      <c r="F35" s="2"/>
      <c r="G35" s="2"/>
      <c r="H35" s="2"/>
      <c r="I35" s="2"/>
      <c r="J35" s="2"/>
      <c r="K35" s="2"/>
      <c r="L35" s="2"/>
      <c r="M35" s="2"/>
      <c r="N35" s="2"/>
      <c r="O35" s="2"/>
      <c r="P35" s="2"/>
    </row>
    <row r="36" spans="1:16" ht="18" customHeight="1">
      <c r="A36" s="87"/>
      <c r="B36" s="87"/>
      <c r="C36" s="87"/>
      <c r="D36" s="87"/>
      <c r="E36" s="87"/>
      <c r="F36" s="2"/>
      <c r="G36" s="2"/>
      <c r="H36" s="2"/>
      <c r="I36" s="2"/>
      <c r="J36" s="2"/>
      <c r="K36" s="2"/>
      <c r="L36" s="2"/>
      <c r="M36" s="2"/>
      <c r="N36" s="2"/>
      <c r="O36" s="2"/>
      <c r="P36" s="2"/>
    </row>
    <row r="37" spans="1:16" ht="18" customHeight="1">
      <c r="A37" s="87"/>
      <c r="B37" s="87"/>
      <c r="C37" s="87"/>
      <c r="D37" s="87"/>
      <c r="E37" s="87"/>
      <c r="F37" s="2"/>
      <c r="G37" s="2"/>
      <c r="H37" s="2"/>
      <c r="I37" s="2"/>
      <c r="J37" s="2"/>
      <c r="K37" s="2"/>
      <c r="L37" s="2"/>
      <c r="M37" s="2"/>
      <c r="N37" s="2"/>
      <c r="O37" s="2"/>
      <c r="P37" s="2"/>
    </row>
    <row r="38" spans="1:16" ht="18" customHeight="1">
      <c r="A38" s="9"/>
      <c r="B38" s="9"/>
      <c r="C38" s="9"/>
      <c r="D38" s="9"/>
      <c r="E38" s="9"/>
    </row>
    <row r="39" spans="1:16" ht="18" customHeight="1">
      <c r="A39" s="81" t="s">
        <v>105</v>
      </c>
      <c r="B39" s="81"/>
      <c r="C39" s="81"/>
      <c r="D39" s="81"/>
      <c r="E39" s="81"/>
    </row>
    <row r="40" spans="1:16" ht="18" customHeight="1">
      <c r="A40" s="88"/>
      <c r="B40" s="88"/>
      <c r="C40" s="88"/>
      <c r="D40" s="88"/>
      <c r="E40" s="88"/>
    </row>
    <row r="41" spans="1:16" ht="18" customHeight="1">
      <c r="A41" s="81" t="s">
        <v>106</v>
      </c>
      <c r="B41" s="81"/>
      <c r="C41" s="81"/>
      <c r="D41" s="81"/>
      <c r="E41" s="81"/>
    </row>
    <row r="42" spans="1:16" ht="18" customHeight="1">
      <c r="A42" s="103" t="s">
        <v>283</v>
      </c>
      <c r="B42" s="89"/>
      <c r="C42" s="89"/>
      <c r="D42" s="89"/>
      <c r="E42" s="89"/>
    </row>
    <row r="43" spans="1:16" ht="14">
      <c r="A43" s="88"/>
      <c r="B43" s="88"/>
      <c r="C43" s="88"/>
      <c r="D43" s="88"/>
      <c r="E43" s="88"/>
    </row>
  </sheetData>
  <sheetProtection selectLockedCells="1"/>
  <phoneticPr fontId="39"/>
  <printOptions horizontalCentered="1" verticalCentered="1"/>
  <pageMargins left="0" right="0" top="0.35433070866141736" bottom="0.55118110236220474" header="0.31496062992125984" footer="0.31496062992125984"/>
  <pageSetup paperSize="9" fitToHeight="0" orientation="portrait" r:id="rId1"/>
  <headerFooter>
    <oddFooter>&amp;C&amp;P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P406"/>
  <sheetViews>
    <sheetView view="pageBreakPreview" zoomScaleNormal="100" zoomScaleSheetLayoutView="100" workbookViewId="0">
      <selection activeCell="K351" sqref="K351"/>
    </sheetView>
  </sheetViews>
  <sheetFormatPr defaultColWidth="9" defaultRowHeight="13"/>
  <cols>
    <col min="1" max="1" width="4.453125" customWidth="1"/>
    <col min="2" max="2" width="3.453125" customWidth="1"/>
    <col min="3" max="3" width="10.08984375" customWidth="1"/>
    <col min="4" max="4" width="5.08984375" customWidth="1"/>
    <col min="5" max="5" width="4.90625" customWidth="1"/>
    <col min="6" max="7" width="8.453125" customWidth="1"/>
    <col min="8" max="8" width="1.7265625" customWidth="1"/>
    <col min="9" max="9" width="3.453125" customWidth="1"/>
    <col min="10" max="10" width="7.453125" customWidth="1"/>
    <col min="11" max="11" width="1.90625" customWidth="1"/>
    <col min="12" max="12" width="6.26953125" customWidth="1"/>
    <col min="13" max="13" width="8.26953125" customWidth="1"/>
    <col min="14" max="14" width="2.453125" customWidth="1"/>
    <col min="15" max="15" width="3.08984375" customWidth="1"/>
    <col min="16" max="16" width="8.453125" customWidth="1"/>
    <col min="17" max="17" width="2.453125" customWidth="1"/>
  </cols>
  <sheetData>
    <row r="1" spans="1:16" ht="10.5" customHeight="1">
      <c r="P1" s="98" t="s">
        <v>337</v>
      </c>
    </row>
    <row r="2" spans="1:16" ht="21.75" customHeight="1">
      <c r="A2" s="1" t="s">
        <v>107</v>
      </c>
      <c r="B2" s="1"/>
      <c r="C2" s="1"/>
      <c r="D2" s="1"/>
      <c r="E2" s="1"/>
      <c r="F2" s="2"/>
      <c r="G2" s="2"/>
      <c r="H2" s="2"/>
      <c r="I2" s="2"/>
      <c r="J2" s="2"/>
      <c r="K2" s="2"/>
      <c r="L2" s="2"/>
      <c r="M2" s="2"/>
      <c r="N2" s="2"/>
      <c r="O2" s="2"/>
      <c r="P2" s="2"/>
    </row>
    <row r="3" spans="1:16" ht="10.5" customHeight="1">
      <c r="A3" s="3"/>
      <c r="B3" s="3"/>
      <c r="C3" s="3"/>
      <c r="D3" s="3"/>
      <c r="E3" s="3"/>
    </row>
    <row r="4" spans="1:16" ht="13.5" customHeight="1">
      <c r="A4" s="4" t="s">
        <v>0</v>
      </c>
      <c r="B4" s="4"/>
      <c r="C4" s="4"/>
      <c r="D4" s="4"/>
      <c r="E4" s="4"/>
    </row>
    <row r="5" spans="1:16" ht="13.5" customHeight="1">
      <c r="A5" s="4" t="s">
        <v>265</v>
      </c>
      <c r="B5" s="4"/>
      <c r="C5" s="4"/>
      <c r="D5" s="4"/>
      <c r="E5" s="4"/>
    </row>
    <row r="6" spans="1:16" ht="13.5" customHeight="1">
      <c r="A6" s="5" t="s">
        <v>266</v>
      </c>
      <c r="B6" s="5"/>
      <c r="C6" s="5"/>
      <c r="D6" s="5"/>
      <c r="E6" s="5"/>
    </row>
    <row r="7" spans="1:16" ht="13.5" customHeight="1">
      <c r="A7" s="5" t="s">
        <v>267</v>
      </c>
      <c r="B7" s="5"/>
      <c r="C7" s="5"/>
      <c r="D7" s="5"/>
      <c r="E7" s="5"/>
    </row>
    <row r="8" spans="1:16" ht="13.5" customHeight="1">
      <c r="A8" s="5"/>
      <c r="B8" s="5"/>
      <c r="C8" s="5"/>
      <c r="D8" s="5"/>
      <c r="E8" s="5"/>
    </row>
    <row r="9" spans="1:16" ht="13.5" customHeight="1">
      <c r="A9" s="4"/>
      <c r="B9" s="4"/>
      <c r="C9" s="4"/>
      <c r="D9" s="4"/>
      <c r="E9" s="4"/>
    </row>
    <row r="10" spans="1:16" ht="13.5" customHeight="1">
      <c r="A10" s="4" t="s">
        <v>1</v>
      </c>
      <c r="B10" s="4"/>
      <c r="C10" s="4"/>
      <c r="D10" s="4"/>
      <c r="E10" s="4"/>
    </row>
    <row r="11" spans="1:16" ht="13.5" customHeight="1">
      <c r="A11" s="4" t="s">
        <v>354</v>
      </c>
      <c r="B11" s="4"/>
      <c r="C11" s="4"/>
      <c r="D11" s="4"/>
      <c r="E11" s="4"/>
    </row>
    <row r="12" spans="1:16" ht="13.5" customHeight="1">
      <c r="A12" s="4" t="s">
        <v>153</v>
      </c>
      <c r="B12" s="4"/>
      <c r="C12" s="4"/>
      <c r="D12" s="4"/>
      <c r="E12" s="4"/>
    </row>
    <row r="13" spans="1:16" ht="13.5" customHeight="1">
      <c r="A13" s="6" t="s">
        <v>154</v>
      </c>
      <c r="B13" s="6"/>
      <c r="C13" s="6"/>
      <c r="D13" s="6"/>
      <c r="E13" s="6"/>
    </row>
    <row r="14" spans="1:16" ht="13.5" customHeight="1">
      <c r="A14" s="4" t="s">
        <v>155</v>
      </c>
      <c r="B14" s="4"/>
      <c r="C14" s="4"/>
      <c r="D14" s="4"/>
      <c r="E14" s="4"/>
    </row>
    <row r="15" spans="1:16" ht="13.5" customHeight="1">
      <c r="A15" s="4"/>
      <c r="B15" s="4"/>
      <c r="C15" s="4"/>
      <c r="D15" s="4"/>
      <c r="E15" s="4"/>
    </row>
    <row r="16" spans="1:16" ht="13.5" customHeight="1">
      <c r="A16" s="4"/>
      <c r="B16" s="4"/>
      <c r="C16" s="4"/>
      <c r="D16" s="4"/>
      <c r="E16" s="4"/>
    </row>
    <row r="17" spans="1:5" ht="13.5" customHeight="1">
      <c r="A17" s="4" t="s">
        <v>2</v>
      </c>
      <c r="B17" s="4"/>
      <c r="C17" s="4"/>
      <c r="D17" s="4"/>
      <c r="E17" s="4"/>
    </row>
    <row r="18" spans="1:5" ht="13.5" customHeight="1">
      <c r="A18" s="4" t="s">
        <v>268</v>
      </c>
      <c r="B18" s="4"/>
      <c r="C18" s="4"/>
      <c r="D18" s="4"/>
      <c r="E18" s="4"/>
    </row>
    <row r="19" spans="1:5" ht="13.5" customHeight="1">
      <c r="A19" s="4" t="s">
        <v>251</v>
      </c>
      <c r="B19" s="4"/>
      <c r="C19" s="4"/>
      <c r="D19" s="4"/>
      <c r="E19" s="4"/>
    </row>
    <row r="20" spans="1:5" ht="13.5" customHeight="1">
      <c r="A20" s="4" t="s">
        <v>252</v>
      </c>
      <c r="B20" s="4"/>
      <c r="C20" s="4"/>
      <c r="D20" s="4"/>
      <c r="E20" s="4"/>
    </row>
    <row r="21" spans="1:5" ht="13.5" customHeight="1">
      <c r="A21" s="4"/>
      <c r="B21" s="4"/>
      <c r="C21" s="4"/>
      <c r="D21" s="4"/>
      <c r="E21" s="4"/>
    </row>
    <row r="22" spans="1:5" ht="13.5" customHeight="1">
      <c r="A22" s="4"/>
      <c r="B22" s="4"/>
      <c r="C22" s="4"/>
      <c r="D22" s="4"/>
      <c r="E22" s="4"/>
    </row>
    <row r="23" spans="1:5" ht="13.5" customHeight="1">
      <c r="A23" s="4" t="s">
        <v>3</v>
      </c>
      <c r="B23" s="4"/>
      <c r="C23" s="4"/>
      <c r="D23" s="4"/>
      <c r="E23" s="4"/>
    </row>
    <row r="24" spans="1:5" ht="13.5" customHeight="1">
      <c r="A24" s="6" t="s">
        <v>156</v>
      </c>
      <c r="B24" s="6"/>
      <c r="C24" s="6"/>
      <c r="D24" s="6"/>
      <c r="E24" s="6"/>
    </row>
    <row r="25" spans="1:5" ht="13.5" customHeight="1">
      <c r="A25" s="6" t="s">
        <v>157</v>
      </c>
      <c r="B25" s="6"/>
      <c r="C25" s="6"/>
      <c r="D25" s="6"/>
      <c r="E25" s="6"/>
    </row>
    <row r="26" spans="1:5" ht="13.5" customHeight="1">
      <c r="A26" s="6" t="s">
        <v>158</v>
      </c>
      <c r="B26" s="6"/>
      <c r="C26" s="6"/>
      <c r="D26" s="6"/>
      <c r="E26" s="6"/>
    </row>
    <row r="27" spans="1:5" ht="13.5" customHeight="1">
      <c r="A27" s="4" t="s">
        <v>108</v>
      </c>
      <c r="B27" s="4"/>
      <c r="C27" s="4"/>
      <c r="D27" s="4"/>
      <c r="E27" s="4"/>
    </row>
    <row r="28" spans="1:5" ht="13.5" customHeight="1">
      <c r="A28" s="4" t="s">
        <v>159</v>
      </c>
      <c r="B28" s="4"/>
      <c r="C28" s="4"/>
      <c r="D28" s="4"/>
      <c r="E28" s="4"/>
    </row>
    <row r="29" spans="1:5" ht="13.5" customHeight="1">
      <c r="A29" s="4" t="s">
        <v>160</v>
      </c>
      <c r="B29" s="4"/>
      <c r="C29" s="4"/>
      <c r="D29" s="4"/>
      <c r="E29" s="4"/>
    </row>
    <row r="30" spans="1:5" ht="13.5" customHeight="1">
      <c r="A30" s="4" t="s">
        <v>161</v>
      </c>
      <c r="B30" s="4"/>
      <c r="C30" s="4"/>
      <c r="D30" s="4"/>
      <c r="E30" s="4"/>
    </row>
    <row r="31" spans="1:5" ht="13.5" customHeight="1">
      <c r="A31" s="4" t="s">
        <v>162</v>
      </c>
      <c r="B31" s="4"/>
      <c r="C31" s="4"/>
      <c r="D31" s="4"/>
      <c r="E31" s="4"/>
    </row>
    <row r="32" spans="1:5" ht="13.5" customHeight="1">
      <c r="A32" s="4" t="s">
        <v>109</v>
      </c>
      <c r="B32" s="4"/>
      <c r="C32" s="4"/>
      <c r="D32" s="4"/>
      <c r="E32" s="4"/>
    </row>
    <row r="33" spans="1:5" ht="13.5" customHeight="1">
      <c r="A33" s="4"/>
      <c r="B33" s="4"/>
      <c r="C33" s="4"/>
      <c r="D33" s="4"/>
      <c r="E33" s="4"/>
    </row>
    <row r="34" spans="1:5" ht="13.5" customHeight="1">
      <c r="A34" s="4"/>
      <c r="B34" s="4"/>
      <c r="C34" s="4"/>
      <c r="D34" s="4"/>
      <c r="E34" s="4"/>
    </row>
    <row r="35" spans="1:5" ht="13.5" customHeight="1">
      <c r="A35" s="4" t="s">
        <v>4</v>
      </c>
      <c r="B35" s="4"/>
      <c r="C35" s="4"/>
      <c r="D35" s="4"/>
      <c r="E35" s="4"/>
    </row>
    <row r="36" spans="1:5" ht="13.5" customHeight="1">
      <c r="A36" s="4" t="s">
        <v>269</v>
      </c>
      <c r="B36" s="4"/>
      <c r="C36" s="4"/>
      <c r="D36" s="4"/>
      <c r="E36" s="4"/>
    </row>
    <row r="37" spans="1:5" ht="13.5" customHeight="1">
      <c r="A37" s="4" t="s">
        <v>163</v>
      </c>
      <c r="B37" s="4"/>
      <c r="C37" s="4"/>
      <c r="D37" s="4"/>
      <c r="E37" s="4"/>
    </row>
    <row r="38" spans="1:5" ht="13.5" customHeight="1">
      <c r="A38" s="4" t="s">
        <v>109</v>
      </c>
      <c r="B38" s="4"/>
      <c r="C38" s="4"/>
      <c r="D38" s="4"/>
      <c r="E38" s="4"/>
    </row>
    <row r="39" spans="1:5" ht="13.5" customHeight="1">
      <c r="A39" s="4" t="s">
        <v>166</v>
      </c>
      <c r="B39" s="4"/>
      <c r="C39" s="4"/>
      <c r="D39" s="4"/>
      <c r="E39" s="4"/>
    </row>
    <row r="40" spans="1:5" ht="13.5" customHeight="1">
      <c r="A40" s="4" t="s">
        <v>109</v>
      </c>
      <c r="B40" s="4"/>
      <c r="C40" s="4"/>
      <c r="D40" s="4"/>
      <c r="E40" s="4"/>
    </row>
    <row r="41" spans="1:5" ht="13.5" customHeight="1">
      <c r="A41" s="4" t="s">
        <v>167</v>
      </c>
      <c r="B41" s="4"/>
      <c r="C41" s="4"/>
      <c r="D41" s="4"/>
      <c r="E41" s="4"/>
    </row>
    <row r="42" spans="1:5" ht="13.5" customHeight="1">
      <c r="A42" s="4" t="s">
        <v>168</v>
      </c>
      <c r="B42" s="4"/>
      <c r="C42" s="4"/>
      <c r="D42" s="4"/>
      <c r="E42" s="4"/>
    </row>
    <row r="43" spans="1:5" ht="13.5" customHeight="1">
      <c r="A43" s="4" t="s">
        <v>169</v>
      </c>
      <c r="B43" s="4"/>
      <c r="C43" s="4"/>
      <c r="D43" s="4"/>
      <c r="E43" s="4"/>
    </row>
    <row r="44" spans="1:5" ht="13.5" customHeight="1">
      <c r="A44" s="4" t="s">
        <v>170</v>
      </c>
      <c r="B44" s="4"/>
      <c r="C44" s="4"/>
      <c r="D44" s="4"/>
      <c r="E44" s="4"/>
    </row>
    <row r="45" spans="1:5" ht="13.5" customHeight="1">
      <c r="A45" s="4"/>
      <c r="B45" s="4"/>
      <c r="C45" s="4"/>
      <c r="D45" s="4"/>
      <c r="E45" s="4"/>
    </row>
    <row r="46" spans="1:5" ht="13.5" customHeight="1">
      <c r="A46" s="4"/>
      <c r="B46" s="4"/>
      <c r="C46" s="4"/>
      <c r="D46" s="4"/>
      <c r="E46" s="4"/>
    </row>
    <row r="47" spans="1:5" ht="13.5" customHeight="1">
      <c r="A47" s="4" t="s">
        <v>5</v>
      </c>
      <c r="B47" s="4"/>
      <c r="C47" s="4"/>
      <c r="D47" s="4"/>
      <c r="E47" s="4"/>
    </row>
    <row r="48" spans="1:5" ht="13.5" customHeight="1">
      <c r="A48" s="4" t="s">
        <v>270</v>
      </c>
      <c r="B48" s="4"/>
      <c r="C48" s="4"/>
      <c r="D48" s="4"/>
      <c r="E48" s="4"/>
    </row>
    <row r="49" spans="1:5" ht="13.5" customHeight="1">
      <c r="A49" s="4" t="s">
        <v>271</v>
      </c>
      <c r="B49" s="4"/>
      <c r="C49" s="4"/>
      <c r="D49" s="4"/>
      <c r="E49" s="4"/>
    </row>
    <row r="50" spans="1:5" ht="13.5" customHeight="1">
      <c r="A50" s="4" t="s">
        <v>164</v>
      </c>
      <c r="B50" s="4"/>
      <c r="C50" s="4"/>
      <c r="D50" s="4"/>
      <c r="E50" s="4"/>
    </row>
    <row r="51" spans="1:5" ht="13.5" customHeight="1">
      <c r="A51" s="4" t="s">
        <v>110</v>
      </c>
      <c r="B51" s="4"/>
      <c r="C51" s="4"/>
      <c r="D51" s="4"/>
      <c r="E51" s="4"/>
    </row>
    <row r="52" spans="1:5" ht="13.5" customHeight="1">
      <c r="A52" s="4"/>
      <c r="B52" s="4"/>
      <c r="C52" s="4"/>
      <c r="D52" s="4"/>
      <c r="E52" s="4"/>
    </row>
    <row r="53" spans="1:5" ht="13.5" customHeight="1">
      <c r="A53" s="4"/>
      <c r="B53" s="4"/>
      <c r="C53" s="4"/>
      <c r="D53" s="4"/>
      <c r="E53" s="4"/>
    </row>
    <row r="54" spans="1:5" ht="13.5" customHeight="1">
      <c r="A54" s="4" t="s">
        <v>6</v>
      </c>
      <c r="B54" s="4"/>
      <c r="C54" s="4"/>
      <c r="D54" s="4"/>
      <c r="E54" s="4"/>
    </row>
    <row r="55" spans="1:5" ht="13.5" customHeight="1">
      <c r="A55" s="4" t="s">
        <v>330</v>
      </c>
      <c r="B55" s="4"/>
      <c r="C55" s="4"/>
      <c r="D55" s="4"/>
      <c r="E55" s="4"/>
    </row>
    <row r="56" spans="1:5" ht="13.5" customHeight="1">
      <c r="A56" s="4" t="s">
        <v>336</v>
      </c>
      <c r="B56" s="4"/>
      <c r="C56" s="4"/>
      <c r="D56" s="4"/>
      <c r="E56" s="4"/>
    </row>
    <row r="57" spans="1:5" ht="13.5" customHeight="1">
      <c r="A57" s="4" t="s">
        <v>111</v>
      </c>
      <c r="B57" s="4"/>
      <c r="C57" s="4"/>
      <c r="D57" s="4"/>
      <c r="E57" s="4"/>
    </row>
    <row r="58" spans="1:5" ht="13.5" customHeight="1">
      <c r="A58" s="4" t="s">
        <v>338</v>
      </c>
      <c r="B58" s="4"/>
      <c r="C58" s="4"/>
      <c r="D58" s="4"/>
      <c r="E58" s="4"/>
    </row>
    <row r="59" spans="1:5" ht="13.5" customHeight="1">
      <c r="A59" s="4" t="s">
        <v>280</v>
      </c>
      <c r="B59" s="4"/>
      <c r="C59" s="4"/>
      <c r="D59" s="4"/>
      <c r="E59" s="4"/>
    </row>
    <row r="60" spans="1:5" ht="13.5" customHeight="1">
      <c r="A60" s="4" t="s">
        <v>281</v>
      </c>
      <c r="B60" s="4"/>
      <c r="C60" s="4"/>
      <c r="D60" s="4"/>
      <c r="E60" s="4"/>
    </row>
    <row r="61" spans="1:5" ht="13.5" customHeight="1">
      <c r="A61" s="4" t="s">
        <v>165</v>
      </c>
      <c r="B61" s="4"/>
      <c r="C61" s="4"/>
      <c r="D61" s="4"/>
      <c r="E61" s="4"/>
    </row>
    <row r="62" spans="1:5" ht="13.5" customHeight="1">
      <c r="A62" s="4" t="s">
        <v>335</v>
      </c>
      <c r="B62" s="4"/>
      <c r="C62" s="4"/>
      <c r="D62" s="4"/>
      <c r="E62" s="4"/>
    </row>
    <row r="63" spans="1:5" ht="13.5" customHeight="1">
      <c r="A63" s="4" t="s">
        <v>272</v>
      </c>
      <c r="B63" s="4"/>
      <c r="C63" s="4"/>
      <c r="D63" s="4"/>
      <c r="E63" s="4"/>
    </row>
    <row r="64" spans="1:5">
      <c r="A64" s="104" t="s">
        <v>329</v>
      </c>
      <c r="B64" s="4"/>
      <c r="C64" s="4"/>
      <c r="D64" s="4"/>
      <c r="E64" s="4"/>
    </row>
    <row r="65" spans="1:16">
      <c r="A65" s="4" t="s">
        <v>334</v>
      </c>
      <c r="B65" s="4"/>
      <c r="C65" s="4"/>
      <c r="D65" s="4"/>
      <c r="E65" s="4"/>
    </row>
    <row r="66" spans="1:16" ht="16.75" customHeight="1">
      <c r="A66" s="10" t="s">
        <v>7</v>
      </c>
      <c r="B66" s="11"/>
      <c r="C66" s="11"/>
      <c r="D66" s="28" t="s">
        <v>138</v>
      </c>
      <c r="E66" s="11"/>
      <c r="F66" s="11"/>
      <c r="G66" s="11"/>
      <c r="H66" s="11"/>
      <c r="I66" s="29"/>
      <c r="J66" s="92" t="s">
        <v>8</v>
      </c>
      <c r="K66" s="93"/>
      <c r="L66" s="94" t="s">
        <v>9</v>
      </c>
      <c r="M66" s="92" t="s">
        <v>10</v>
      </c>
      <c r="N66" s="93"/>
      <c r="O66" s="109" t="s">
        <v>11</v>
      </c>
      <c r="P66" s="110"/>
    </row>
    <row r="67" spans="1:16" s="97" customFormat="1" ht="16.75" customHeight="1">
      <c r="A67" s="161" t="s">
        <v>347</v>
      </c>
      <c r="B67" s="162"/>
      <c r="C67" s="163"/>
      <c r="D67" s="164"/>
      <c r="E67" s="165"/>
      <c r="F67" s="165"/>
      <c r="G67" s="165"/>
      <c r="H67" s="165"/>
      <c r="I67" s="166"/>
      <c r="J67" s="158"/>
      <c r="K67" s="159"/>
      <c r="L67" s="111"/>
      <c r="M67" s="158"/>
      <c r="N67" s="159"/>
      <c r="O67" s="158"/>
      <c r="P67" s="160"/>
    </row>
    <row r="68" spans="1:16" s="97" customFormat="1" ht="16.75" customHeight="1">
      <c r="A68" s="161" t="s">
        <v>348</v>
      </c>
      <c r="B68" s="162"/>
      <c r="C68" s="163"/>
      <c r="D68" s="187"/>
      <c r="E68" s="188"/>
      <c r="F68" s="188"/>
      <c r="G68" s="188"/>
      <c r="H68" s="188"/>
      <c r="I68" s="189"/>
      <c r="J68" s="158"/>
      <c r="K68" s="159"/>
      <c r="L68" s="111"/>
      <c r="M68" s="158"/>
      <c r="N68" s="159"/>
      <c r="O68" s="158"/>
      <c r="P68" s="160"/>
    </row>
    <row r="69" spans="1:16" s="97" customFormat="1" ht="16.75" customHeight="1">
      <c r="A69" s="161" t="s">
        <v>348</v>
      </c>
      <c r="B69" s="162"/>
      <c r="C69" s="163"/>
      <c r="D69" s="164"/>
      <c r="E69" s="165"/>
      <c r="F69" s="165"/>
      <c r="G69" s="165"/>
      <c r="H69" s="165"/>
      <c r="I69" s="166"/>
      <c r="J69" s="158"/>
      <c r="K69" s="159"/>
      <c r="L69" s="111"/>
      <c r="M69" s="158"/>
      <c r="N69" s="159"/>
      <c r="O69" s="158"/>
      <c r="P69" s="160"/>
    </row>
    <row r="70" spans="1:16" s="97" customFormat="1" ht="16.75" customHeight="1">
      <c r="A70" s="161" t="s">
        <v>348</v>
      </c>
      <c r="B70" s="162"/>
      <c r="C70" s="163"/>
      <c r="D70" s="164"/>
      <c r="E70" s="165"/>
      <c r="F70" s="165"/>
      <c r="G70" s="165"/>
      <c r="H70" s="165"/>
      <c r="I70" s="166"/>
      <c r="J70" s="158"/>
      <c r="K70" s="159"/>
      <c r="L70" s="111"/>
      <c r="M70" s="158"/>
      <c r="N70" s="159"/>
      <c r="O70" s="158"/>
      <c r="P70" s="160"/>
    </row>
    <row r="71" spans="1:16" s="97" customFormat="1" ht="16.75" customHeight="1">
      <c r="A71" s="161"/>
      <c r="B71" s="162"/>
      <c r="C71" s="163"/>
      <c r="D71" s="164"/>
      <c r="E71" s="165"/>
      <c r="F71" s="165"/>
      <c r="G71" s="165"/>
      <c r="H71" s="165"/>
      <c r="I71" s="166"/>
      <c r="J71" s="158"/>
      <c r="K71" s="159"/>
      <c r="L71" s="111"/>
      <c r="M71" s="158"/>
      <c r="N71" s="159"/>
      <c r="O71" s="158"/>
      <c r="P71" s="160"/>
    </row>
    <row r="72" spans="1:16" s="97" customFormat="1" ht="16.75" customHeight="1">
      <c r="A72" s="161"/>
      <c r="B72" s="162"/>
      <c r="C72" s="163"/>
      <c r="D72" s="164"/>
      <c r="E72" s="165"/>
      <c r="F72" s="165"/>
      <c r="G72" s="165"/>
      <c r="H72" s="165"/>
      <c r="I72" s="166"/>
      <c r="J72" s="158"/>
      <c r="K72" s="159"/>
      <c r="L72" s="111"/>
      <c r="M72" s="158"/>
      <c r="N72" s="159"/>
      <c r="O72" s="158"/>
      <c r="P72" s="160"/>
    </row>
    <row r="73" spans="1:16" s="97" customFormat="1" ht="16.75" customHeight="1">
      <c r="A73" s="161"/>
      <c r="B73" s="162"/>
      <c r="C73" s="163"/>
      <c r="D73" s="164"/>
      <c r="E73" s="165"/>
      <c r="F73" s="165"/>
      <c r="G73" s="165"/>
      <c r="H73" s="165"/>
      <c r="I73" s="166"/>
      <c r="J73" s="158"/>
      <c r="K73" s="159"/>
      <c r="L73" s="111"/>
      <c r="M73" s="158"/>
      <c r="N73" s="159"/>
      <c r="O73" s="158"/>
      <c r="P73" s="160"/>
    </row>
    <row r="74" spans="1:16" s="97" customFormat="1" ht="16.75" customHeight="1">
      <c r="A74" s="161"/>
      <c r="B74" s="162"/>
      <c r="C74" s="163"/>
      <c r="D74" s="164"/>
      <c r="E74" s="165"/>
      <c r="F74" s="165"/>
      <c r="G74" s="165"/>
      <c r="H74" s="165"/>
      <c r="I74" s="166"/>
      <c r="J74" s="158"/>
      <c r="K74" s="159"/>
      <c r="L74" s="111"/>
      <c r="M74" s="158"/>
      <c r="N74" s="159"/>
      <c r="O74" s="158"/>
      <c r="P74" s="160"/>
    </row>
    <row r="75" spans="1:16" s="97" customFormat="1" ht="16.75" customHeight="1">
      <c r="A75" s="161"/>
      <c r="B75" s="162"/>
      <c r="C75" s="163"/>
      <c r="D75" s="164"/>
      <c r="E75" s="165"/>
      <c r="F75" s="165"/>
      <c r="G75" s="165"/>
      <c r="H75" s="165"/>
      <c r="I75" s="166"/>
      <c r="J75" s="158"/>
      <c r="K75" s="159"/>
      <c r="L75" s="111"/>
      <c r="M75" s="158"/>
      <c r="N75" s="159"/>
      <c r="O75" s="158"/>
      <c r="P75" s="160"/>
    </row>
    <row r="76" spans="1:16" s="97" customFormat="1" ht="16.75" customHeight="1" thickBot="1">
      <c r="A76" s="184"/>
      <c r="B76" s="185"/>
      <c r="C76" s="186"/>
      <c r="D76" s="181"/>
      <c r="E76" s="182"/>
      <c r="F76" s="182"/>
      <c r="G76" s="182"/>
      <c r="H76" s="182"/>
      <c r="I76" s="183"/>
      <c r="J76" s="190"/>
      <c r="K76" s="191"/>
      <c r="L76" s="112"/>
      <c r="M76" s="190"/>
      <c r="N76" s="191"/>
      <c r="O76" s="190"/>
      <c r="P76" s="192"/>
    </row>
    <row r="77" spans="1:16" ht="16.75" customHeight="1" thickTop="1">
      <c r="A77" s="95" t="s">
        <v>14</v>
      </c>
      <c r="B77" s="96"/>
      <c r="C77" s="96"/>
      <c r="D77" s="96"/>
      <c r="E77" s="96"/>
      <c r="F77" s="96"/>
      <c r="G77" s="96"/>
      <c r="H77" s="96"/>
      <c r="I77" s="96"/>
      <c r="J77" s="96"/>
      <c r="K77" s="96"/>
      <c r="L77" s="96"/>
      <c r="M77" s="147"/>
      <c r="N77" s="148"/>
      <c r="O77" s="147"/>
      <c r="P77" s="149"/>
    </row>
    <row r="78" spans="1:16" ht="13.5" customHeight="1">
      <c r="A78" s="4" t="s">
        <v>176</v>
      </c>
      <c r="B78" s="4"/>
      <c r="C78" s="4"/>
      <c r="D78" s="4"/>
      <c r="E78" s="4"/>
    </row>
    <row r="79" spans="1:16">
      <c r="A79" s="4" t="s">
        <v>177</v>
      </c>
      <c r="B79" s="4"/>
      <c r="C79" s="4"/>
      <c r="D79" s="4"/>
      <c r="E79" s="4"/>
    </row>
    <row r="80" spans="1:16">
      <c r="A80" s="4" t="s">
        <v>171</v>
      </c>
      <c r="B80" s="4"/>
      <c r="C80" s="4"/>
      <c r="D80" s="4"/>
      <c r="E80" s="4"/>
    </row>
    <row r="81" spans="1:5">
      <c r="A81" s="4" t="s">
        <v>344</v>
      </c>
      <c r="B81" s="4"/>
      <c r="C81" s="4"/>
      <c r="D81" s="4"/>
      <c r="E81" s="4"/>
    </row>
    <row r="82" spans="1:5">
      <c r="A82" s="4" t="s">
        <v>345</v>
      </c>
      <c r="B82" s="4"/>
      <c r="C82" s="4"/>
      <c r="D82" s="4"/>
      <c r="E82" s="4"/>
    </row>
    <row r="83" spans="1:5">
      <c r="A83" s="3"/>
      <c r="B83" s="3"/>
      <c r="C83" s="3"/>
      <c r="D83" s="3"/>
      <c r="E83" s="3"/>
    </row>
    <row r="84" spans="1:5">
      <c r="A84" s="3"/>
      <c r="B84" s="3"/>
      <c r="C84" s="3"/>
      <c r="D84" s="3"/>
      <c r="E84" s="3"/>
    </row>
    <row r="85" spans="1:5">
      <c r="A85" s="4" t="s">
        <v>15</v>
      </c>
      <c r="B85" s="4"/>
      <c r="C85" s="4"/>
      <c r="D85" s="4"/>
      <c r="E85" s="4"/>
    </row>
    <row r="86" spans="1:5">
      <c r="A86" s="4" t="s">
        <v>178</v>
      </c>
      <c r="B86" s="4"/>
      <c r="C86" s="4"/>
      <c r="D86" s="4"/>
      <c r="E86" s="4"/>
    </row>
    <row r="87" spans="1:5">
      <c r="A87" s="4" t="s">
        <v>179</v>
      </c>
      <c r="B87" s="4"/>
      <c r="C87" s="4"/>
      <c r="D87" s="4"/>
      <c r="E87" s="4"/>
    </row>
    <row r="88" spans="1:5">
      <c r="A88" s="4" t="s">
        <v>172</v>
      </c>
      <c r="B88" s="4"/>
      <c r="C88" s="4"/>
      <c r="D88" s="4"/>
      <c r="E88" s="4"/>
    </row>
    <row r="89" spans="1:5">
      <c r="A89" s="4" t="s">
        <v>173</v>
      </c>
      <c r="B89" s="4"/>
      <c r="C89" s="4"/>
      <c r="D89" s="4"/>
      <c r="E89" s="4"/>
    </row>
    <row r="90" spans="1:5">
      <c r="A90" s="4" t="s">
        <v>16</v>
      </c>
      <c r="B90" s="4"/>
      <c r="C90" s="4"/>
      <c r="D90" s="4"/>
      <c r="E90" s="4"/>
    </row>
    <row r="91" spans="1:5">
      <c r="A91" s="3"/>
      <c r="B91" s="3"/>
      <c r="C91" s="3"/>
      <c r="D91" s="3"/>
      <c r="E91" s="3"/>
    </row>
    <row r="92" spans="1:5">
      <c r="A92" s="3"/>
      <c r="B92" s="3"/>
      <c r="C92" s="3"/>
      <c r="D92" s="3"/>
      <c r="E92" s="3"/>
    </row>
    <row r="93" spans="1:5">
      <c r="A93" s="4" t="s">
        <v>17</v>
      </c>
      <c r="B93" s="4"/>
      <c r="C93" s="4"/>
      <c r="D93" s="4"/>
      <c r="E93" s="4"/>
    </row>
    <row r="94" spans="1:5">
      <c r="A94" s="4" t="s">
        <v>180</v>
      </c>
      <c r="B94" s="4"/>
      <c r="C94" s="4"/>
      <c r="D94" s="4"/>
      <c r="E94" s="4"/>
    </row>
    <row r="95" spans="1:5">
      <c r="A95" s="4" t="s">
        <v>181</v>
      </c>
      <c r="B95" s="4"/>
      <c r="C95" s="4"/>
      <c r="D95" s="4"/>
      <c r="E95" s="4"/>
    </row>
    <row r="96" spans="1:5">
      <c r="A96" s="4" t="s">
        <v>182</v>
      </c>
      <c r="B96" s="4"/>
      <c r="C96" s="4"/>
      <c r="D96" s="4"/>
      <c r="E96" s="4"/>
    </row>
    <row r="97" spans="1:5">
      <c r="A97" s="4" t="s">
        <v>109</v>
      </c>
      <c r="B97" s="4"/>
      <c r="C97" s="4"/>
      <c r="D97" s="4"/>
      <c r="E97" s="4"/>
    </row>
    <row r="98" spans="1:5">
      <c r="A98" s="4" t="s">
        <v>183</v>
      </c>
      <c r="B98" s="4"/>
      <c r="C98" s="4"/>
      <c r="D98" s="4"/>
      <c r="E98" s="4"/>
    </row>
    <row r="99" spans="1:5">
      <c r="A99" s="4" t="s">
        <v>184</v>
      </c>
      <c r="B99" s="4"/>
      <c r="C99" s="4"/>
      <c r="D99" s="4"/>
      <c r="E99" s="4"/>
    </row>
    <row r="100" spans="1:5">
      <c r="A100" s="4"/>
      <c r="B100" s="4"/>
      <c r="C100" s="4"/>
      <c r="D100" s="4"/>
      <c r="E100" s="4"/>
    </row>
    <row r="101" spans="1:5">
      <c r="A101" s="4"/>
      <c r="B101" s="4"/>
      <c r="C101" s="4"/>
      <c r="D101" s="4"/>
      <c r="E101" s="4"/>
    </row>
    <row r="102" spans="1:5">
      <c r="A102" s="4" t="s">
        <v>18</v>
      </c>
      <c r="B102" s="4"/>
      <c r="C102" s="4"/>
      <c r="D102" s="4"/>
      <c r="E102" s="4"/>
    </row>
    <row r="103" spans="1:5">
      <c r="A103" s="4" t="s">
        <v>253</v>
      </c>
      <c r="B103" s="4"/>
      <c r="C103" s="4"/>
      <c r="D103" s="4"/>
      <c r="E103" s="4"/>
    </row>
    <row r="104" spans="1:5">
      <c r="A104" s="4" t="s">
        <v>254</v>
      </c>
      <c r="B104" s="4"/>
      <c r="C104" s="4"/>
      <c r="D104" s="4"/>
      <c r="E104" s="4"/>
    </row>
    <row r="105" spans="1:5">
      <c r="A105" s="4" t="s">
        <v>214</v>
      </c>
      <c r="B105" s="4"/>
      <c r="C105" s="4"/>
      <c r="D105" s="4"/>
      <c r="E105" s="4"/>
    </row>
    <row r="106" spans="1:5">
      <c r="A106" s="4" t="s">
        <v>215</v>
      </c>
      <c r="B106" s="4"/>
      <c r="C106" s="4"/>
      <c r="D106" s="4"/>
      <c r="E106" s="4"/>
    </row>
    <row r="107" spans="1:5">
      <c r="A107" s="4" t="s">
        <v>216</v>
      </c>
      <c r="B107" s="4"/>
      <c r="C107" s="4"/>
      <c r="D107" s="4"/>
      <c r="E107" s="4"/>
    </row>
    <row r="108" spans="1:5">
      <c r="A108" s="4" t="s">
        <v>19</v>
      </c>
      <c r="B108" s="4"/>
      <c r="C108" s="4"/>
      <c r="D108" s="4"/>
      <c r="E108" s="4"/>
    </row>
    <row r="109" spans="1:5">
      <c r="A109" s="4" t="s">
        <v>112</v>
      </c>
      <c r="B109" s="4"/>
      <c r="C109" s="4"/>
      <c r="D109" s="4"/>
      <c r="E109" s="4"/>
    </row>
    <row r="110" spans="1:5">
      <c r="A110" s="4" t="s">
        <v>113</v>
      </c>
      <c r="B110" s="4"/>
      <c r="C110" s="4"/>
      <c r="D110" s="4"/>
      <c r="E110" s="4"/>
    </row>
    <row r="111" spans="1:5">
      <c r="A111" s="4" t="s">
        <v>114</v>
      </c>
      <c r="B111" s="4"/>
      <c r="C111" s="4"/>
      <c r="D111" s="4"/>
      <c r="E111" s="4"/>
    </row>
    <row r="112" spans="1:5">
      <c r="A112" s="4" t="s">
        <v>115</v>
      </c>
      <c r="B112" s="4"/>
      <c r="C112" s="4"/>
      <c r="D112" s="4"/>
      <c r="E112" s="4"/>
    </row>
    <row r="113" spans="1:5">
      <c r="A113" s="4" t="s">
        <v>20</v>
      </c>
      <c r="B113" s="4"/>
      <c r="C113" s="4"/>
      <c r="D113" s="4"/>
      <c r="E113" s="4"/>
    </row>
    <row r="114" spans="1:5">
      <c r="A114" s="4" t="s">
        <v>217</v>
      </c>
      <c r="B114" s="4"/>
      <c r="C114" s="4"/>
      <c r="D114" s="4"/>
      <c r="E114" s="4"/>
    </row>
    <row r="115" spans="1:5">
      <c r="A115" s="4" t="s">
        <v>218</v>
      </c>
      <c r="B115" s="4"/>
      <c r="C115" s="4"/>
      <c r="D115" s="4"/>
      <c r="E115" s="4"/>
    </row>
    <row r="116" spans="1:5">
      <c r="A116" s="4" t="s">
        <v>219</v>
      </c>
      <c r="B116" s="4"/>
      <c r="C116" s="4"/>
      <c r="D116" s="4"/>
      <c r="E116" s="4"/>
    </row>
    <row r="117" spans="1:5">
      <c r="A117" s="4" t="s">
        <v>220</v>
      </c>
      <c r="B117" s="4"/>
      <c r="C117" s="4"/>
      <c r="D117" s="4"/>
      <c r="E117" s="4"/>
    </row>
    <row r="118" spans="1:5">
      <c r="A118" s="4" t="s">
        <v>21</v>
      </c>
      <c r="B118" s="4"/>
      <c r="C118" s="4"/>
      <c r="D118" s="4"/>
      <c r="E118" s="4"/>
    </row>
    <row r="119" spans="1:5">
      <c r="A119" s="4" t="s">
        <v>116</v>
      </c>
      <c r="B119" s="4"/>
      <c r="C119" s="4"/>
      <c r="D119" s="4"/>
      <c r="E119" s="4"/>
    </row>
    <row r="120" spans="1:5">
      <c r="A120" s="4" t="s">
        <v>174</v>
      </c>
      <c r="B120" s="4"/>
      <c r="C120" s="4"/>
      <c r="D120" s="4"/>
      <c r="E120" s="4"/>
    </row>
    <row r="121" spans="1:5">
      <c r="A121" s="4" t="s">
        <v>175</v>
      </c>
      <c r="B121" s="4"/>
      <c r="C121" s="4"/>
      <c r="D121" s="4"/>
      <c r="E121" s="4"/>
    </row>
    <row r="122" spans="1:5">
      <c r="A122" s="4" t="s">
        <v>117</v>
      </c>
      <c r="B122" s="4"/>
      <c r="C122" s="4"/>
      <c r="D122" s="4"/>
      <c r="E122" s="4"/>
    </row>
    <row r="123" spans="1:5">
      <c r="A123" s="4" t="s">
        <v>118</v>
      </c>
      <c r="B123" s="4"/>
      <c r="C123" s="4"/>
      <c r="D123" s="4"/>
      <c r="E123" s="4"/>
    </row>
    <row r="124" spans="1:5">
      <c r="A124" s="4"/>
      <c r="B124" s="4"/>
      <c r="C124" s="4"/>
      <c r="D124" s="4"/>
      <c r="E124" s="4"/>
    </row>
    <row r="125" spans="1:5">
      <c r="A125" s="4"/>
      <c r="B125" s="4"/>
      <c r="C125" s="4"/>
      <c r="D125" s="4"/>
      <c r="E125" s="4"/>
    </row>
    <row r="126" spans="1:5">
      <c r="A126" s="4" t="s">
        <v>22</v>
      </c>
      <c r="B126" s="4"/>
      <c r="C126" s="4"/>
      <c r="D126" s="4"/>
      <c r="E126" s="4"/>
    </row>
    <row r="127" spans="1:5">
      <c r="A127" s="4" t="s">
        <v>185</v>
      </c>
      <c r="B127" s="4"/>
      <c r="C127" s="4"/>
      <c r="D127" s="4"/>
      <c r="E127" s="4"/>
    </row>
    <row r="128" spans="1:5">
      <c r="A128" s="4" t="s">
        <v>186</v>
      </c>
      <c r="B128" s="4"/>
      <c r="C128" s="4"/>
      <c r="D128" s="4"/>
      <c r="E128" s="4"/>
    </row>
    <row r="129" spans="1:5">
      <c r="A129" s="4" t="s">
        <v>187</v>
      </c>
      <c r="B129" s="4"/>
      <c r="C129" s="4"/>
      <c r="D129" s="4"/>
      <c r="E129" s="4"/>
    </row>
    <row r="130" spans="1:5">
      <c r="A130" s="4" t="s">
        <v>119</v>
      </c>
      <c r="B130" s="4"/>
      <c r="C130" s="4"/>
      <c r="D130" s="4"/>
      <c r="E130" s="4"/>
    </row>
    <row r="131" spans="1:5">
      <c r="A131" s="4" t="s">
        <v>221</v>
      </c>
      <c r="B131" s="4"/>
      <c r="C131" s="4"/>
      <c r="D131" s="4"/>
      <c r="E131" s="4"/>
    </row>
    <row r="132" spans="1:5">
      <c r="A132" s="4" t="s">
        <v>222</v>
      </c>
      <c r="B132" s="4"/>
      <c r="C132" s="4"/>
      <c r="D132" s="4"/>
      <c r="E132" s="4"/>
    </row>
    <row r="133" spans="1:5">
      <c r="A133" s="4"/>
      <c r="B133" s="4"/>
      <c r="C133" s="4"/>
      <c r="D133" s="4"/>
      <c r="E133" s="4"/>
    </row>
    <row r="134" spans="1:5">
      <c r="A134" s="4" t="s">
        <v>23</v>
      </c>
      <c r="B134" s="4"/>
      <c r="C134" s="4"/>
      <c r="D134" s="4"/>
      <c r="E134" s="4"/>
    </row>
    <row r="135" spans="1:5">
      <c r="A135" s="4" t="s">
        <v>223</v>
      </c>
      <c r="B135" s="4"/>
      <c r="C135" s="4"/>
      <c r="D135" s="4"/>
      <c r="E135" s="4"/>
    </row>
    <row r="136" spans="1:5">
      <c r="A136" s="4" t="s">
        <v>224</v>
      </c>
      <c r="B136" s="4"/>
      <c r="C136" s="4"/>
      <c r="D136" s="4"/>
      <c r="E136" s="4"/>
    </row>
    <row r="137" spans="1:5">
      <c r="A137" s="4" t="s">
        <v>225</v>
      </c>
      <c r="B137" s="4"/>
      <c r="C137" s="4"/>
      <c r="D137" s="4"/>
      <c r="E137" s="4"/>
    </row>
    <row r="138" spans="1:5">
      <c r="A138" s="4" t="s">
        <v>188</v>
      </c>
      <c r="B138" s="4"/>
      <c r="C138" s="4"/>
      <c r="D138" s="4"/>
      <c r="E138" s="4"/>
    </row>
    <row r="139" spans="1:5">
      <c r="A139" s="4" t="s">
        <v>189</v>
      </c>
      <c r="B139" s="4"/>
      <c r="C139" s="4"/>
      <c r="D139" s="4"/>
      <c r="E139" s="4"/>
    </row>
    <row r="140" spans="1:5">
      <c r="A140" s="3"/>
      <c r="B140" s="3"/>
      <c r="C140" s="3"/>
      <c r="D140" s="3"/>
      <c r="E140" s="3"/>
    </row>
    <row r="141" spans="1:5">
      <c r="A141" s="3"/>
      <c r="B141" s="3"/>
      <c r="C141" s="3"/>
      <c r="D141" s="3"/>
      <c r="E141" s="3"/>
    </row>
    <row r="142" spans="1:5">
      <c r="A142" s="4" t="s">
        <v>24</v>
      </c>
      <c r="B142" s="4"/>
      <c r="C142" s="4"/>
      <c r="D142" s="4"/>
      <c r="E142" s="4"/>
    </row>
    <row r="143" spans="1:5">
      <c r="A143" s="4" t="s">
        <v>273</v>
      </c>
      <c r="B143" s="4"/>
      <c r="C143" s="4"/>
      <c r="D143" s="4"/>
      <c r="E143" s="4"/>
    </row>
    <row r="144" spans="1:5">
      <c r="A144" s="4" t="s">
        <v>298</v>
      </c>
      <c r="B144" s="4"/>
      <c r="C144" s="4"/>
      <c r="D144" s="4"/>
      <c r="E144" s="4"/>
    </row>
    <row r="145" spans="1:5">
      <c r="A145" s="4" t="s">
        <v>299</v>
      </c>
      <c r="B145" s="4"/>
      <c r="C145" s="4"/>
      <c r="D145" s="4"/>
      <c r="E145" s="4"/>
    </row>
    <row r="146" spans="1:5">
      <c r="A146" s="4" t="s">
        <v>300</v>
      </c>
      <c r="B146" s="4"/>
      <c r="C146" s="4"/>
      <c r="D146" s="4"/>
      <c r="E146" s="4"/>
    </row>
    <row r="147" spans="1:5">
      <c r="A147" s="4"/>
      <c r="B147" s="4"/>
      <c r="C147" s="4"/>
      <c r="D147" s="4"/>
      <c r="E147" s="4"/>
    </row>
    <row r="148" spans="1:5">
      <c r="A148" s="4"/>
      <c r="B148" s="4"/>
      <c r="C148" s="4"/>
      <c r="D148" s="4"/>
      <c r="E148" s="4"/>
    </row>
    <row r="149" spans="1:5">
      <c r="A149" s="4" t="s">
        <v>25</v>
      </c>
      <c r="B149" s="4"/>
      <c r="C149" s="4"/>
      <c r="D149" s="4"/>
      <c r="E149" s="4"/>
    </row>
    <row r="150" spans="1:5">
      <c r="A150" s="4" t="s">
        <v>274</v>
      </c>
      <c r="B150" s="4"/>
      <c r="C150" s="4"/>
      <c r="D150" s="4"/>
      <c r="E150" s="4"/>
    </row>
    <row r="151" spans="1:5">
      <c r="A151" s="4" t="s">
        <v>275</v>
      </c>
      <c r="B151" s="4"/>
      <c r="C151" s="4"/>
      <c r="D151" s="4"/>
      <c r="E151" s="4"/>
    </row>
    <row r="152" spans="1:5">
      <c r="A152" s="4" t="s">
        <v>276</v>
      </c>
      <c r="B152" s="4"/>
      <c r="C152" s="4"/>
      <c r="D152" s="4"/>
      <c r="E152" s="4"/>
    </row>
    <row r="153" spans="1:5">
      <c r="A153" s="4" t="s">
        <v>277</v>
      </c>
      <c r="B153" s="4"/>
      <c r="C153" s="4"/>
      <c r="D153" s="4"/>
      <c r="E153" s="4"/>
    </row>
    <row r="154" spans="1:5">
      <c r="A154" s="4" t="s">
        <v>190</v>
      </c>
      <c r="B154" s="4"/>
      <c r="C154" s="4"/>
      <c r="D154" s="4"/>
      <c r="E154" s="4"/>
    </row>
    <row r="155" spans="1:5">
      <c r="A155" s="4" t="s">
        <v>191</v>
      </c>
      <c r="B155" s="4"/>
      <c r="C155" s="4"/>
      <c r="D155" s="4"/>
      <c r="E155" s="4"/>
    </row>
    <row r="156" spans="1:5">
      <c r="A156" s="4" t="s">
        <v>192</v>
      </c>
      <c r="B156" s="4"/>
      <c r="C156" s="4"/>
      <c r="D156" s="4"/>
      <c r="E156" s="4"/>
    </row>
    <row r="157" spans="1:5">
      <c r="A157" s="4" t="s">
        <v>193</v>
      </c>
      <c r="B157" s="4"/>
      <c r="C157" s="4"/>
      <c r="D157" s="4"/>
      <c r="E157" s="4"/>
    </row>
    <row r="158" spans="1:5">
      <c r="A158" s="4" t="s">
        <v>194</v>
      </c>
      <c r="B158" s="4"/>
      <c r="C158" s="4"/>
      <c r="D158" s="4"/>
      <c r="E158" s="4"/>
    </row>
    <row r="159" spans="1:5">
      <c r="A159" s="4" t="s">
        <v>195</v>
      </c>
      <c r="B159" s="4"/>
      <c r="C159" s="4"/>
      <c r="D159" s="4"/>
      <c r="E159" s="4"/>
    </row>
    <row r="160" spans="1:5">
      <c r="A160" s="4"/>
      <c r="B160" s="4"/>
      <c r="C160" s="4"/>
      <c r="D160" s="4"/>
      <c r="E160" s="4"/>
    </row>
    <row r="161" spans="1:5" s="105" customFormat="1">
      <c r="A161" s="104" t="s">
        <v>323</v>
      </c>
      <c r="B161" s="104"/>
      <c r="C161" s="104"/>
      <c r="D161" s="104"/>
      <c r="E161" s="104"/>
    </row>
    <row r="162" spans="1:5" s="105" customFormat="1">
      <c r="A162" s="104" t="s">
        <v>326</v>
      </c>
      <c r="B162" s="104"/>
      <c r="C162" s="104"/>
      <c r="D162" s="104"/>
      <c r="E162" s="104"/>
    </row>
    <row r="163" spans="1:5" s="105" customFormat="1">
      <c r="A163" s="104" t="s">
        <v>327</v>
      </c>
      <c r="B163" s="104"/>
      <c r="C163" s="104"/>
      <c r="D163" s="104"/>
      <c r="E163" s="104"/>
    </row>
    <row r="164" spans="1:5" s="105" customFormat="1">
      <c r="A164" s="104" t="s">
        <v>287</v>
      </c>
      <c r="B164" s="104"/>
      <c r="C164" s="104"/>
      <c r="D164" s="104"/>
      <c r="E164" s="104"/>
    </row>
    <row r="165" spans="1:5" s="105" customFormat="1">
      <c r="A165" s="104" t="s">
        <v>288</v>
      </c>
      <c r="B165" s="104"/>
      <c r="C165" s="104"/>
      <c r="D165" s="104"/>
      <c r="E165" s="104"/>
    </row>
    <row r="166" spans="1:5" s="105" customFormat="1">
      <c r="A166" s="104" t="s">
        <v>289</v>
      </c>
      <c r="B166" s="104"/>
      <c r="C166" s="104"/>
      <c r="D166" s="104"/>
      <c r="E166" s="104"/>
    </row>
    <row r="167" spans="1:5">
      <c r="A167" s="4"/>
      <c r="B167" s="4"/>
      <c r="C167" s="4"/>
      <c r="D167" s="4"/>
      <c r="E167" s="4"/>
    </row>
    <row r="168" spans="1:5">
      <c r="A168" s="4"/>
      <c r="B168" s="4"/>
      <c r="C168" s="4"/>
      <c r="D168" s="4"/>
      <c r="E168" s="4"/>
    </row>
    <row r="169" spans="1:5">
      <c r="A169" s="4" t="s">
        <v>290</v>
      </c>
      <c r="B169" s="4"/>
      <c r="C169" s="4"/>
      <c r="D169" s="4"/>
      <c r="E169" s="4"/>
    </row>
    <row r="170" spans="1:5">
      <c r="A170" s="4" t="s">
        <v>196</v>
      </c>
      <c r="B170" s="4"/>
      <c r="C170" s="4"/>
      <c r="D170" s="4"/>
      <c r="E170" s="4"/>
    </row>
    <row r="171" spans="1:5">
      <c r="A171" s="4" t="s">
        <v>278</v>
      </c>
      <c r="B171" s="4"/>
      <c r="C171" s="4"/>
      <c r="D171" s="4"/>
      <c r="E171" s="4"/>
    </row>
    <row r="172" spans="1:5">
      <c r="A172" s="4" t="s">
        <v>197</v>
      </c>
      <c r="B172" s="4"/>
      <c r="C172" s="4"/>
      <c r="D172" s="4"/>
      <c r="E172" s="4"/>
    </row>
    <row r="173" spans="1:5">
      <c r="A173" s="4"/>
      <c r="B173" s="4"/>
      <c r="C173" s="4"/>
      <c r="D173" s="4"/>
      <c r="E173" s="4"/>
    </row>
    <row r="174" spans="1:5">
      <c r="A174" s="4"/>
      <c r="B174" s="4"/>
      <c r="C174" s="4"/>
      <c r="D174" s="4"/>
      <c r="E174" s="4"/>
    </row>
    <row r="175" spans="1:5">
      <c r="A175" s="4" t="s">
        <v>291</v>
      </c>
      <c r="B175" s="4"/>
      <c r="C175" s="4"/>
      <c r="D175" s="4"/>
      <c r="E175" s="4"/>
    </row>
    <row r="176" spans="1:5">
      <c r="A176" s="4" t="s">
        <v>198</v>
      </c>
      <c r="B176" s="4"/>
      <c r="C176" s="4"/>
      <c r="D176" s="4"/>
      <c r="E176" s="4"/>
    </row>
    <row r="177" spans="1:5">
      <c r="A177" s="4" t="s">
        <v>199</v>
      </c>
      <c r="B177" s="4"/>
      <c r="C177" s="4"/>
      <c r="D177" s="4"/>
      <c r="E177" s="4"/>
    </row>
    <row r="178" spans="1:5">
      <c r="A178" s="4"/>
      <c r="B178" s="4"/>
      <c r="C178" s="4"/>
      <c r="D178" s="4"/>
      <c r="E178" s="4"/>
    </row>
    <row r="179" spans="1:5">
      <c r="A179" s="4"/>
      <c r="B179" s="4"/>
      <c r="C179" s="4"/>
      <c r="D179" s="4"/>
      <c r="E179" s="4"/>
    </row>
    <row r="180" spans="1:5">
      <c r="A180" s="4" t="s">
        <v>292</v>
      </c>
      <c r="B180" s="4"/>
      <c r="C180" s="4"/>
      <c r="D180" s="4"/>
      <c r="E180" s="4"/>
    </row>
    <row r="181" spans="1:5">
      <c r="A181" s="4" t="s">
        <v>200</v>
      </c>
      <c r="B181" s="4"/>
      <c r="C181" s="4"/>
      <c r="D181" s="4"/>
      <c r="E181" s="4"/>
    </row>
    <row r="182" spans="1:5">
      <c r="A182" s="4" t="s">
        <v>201</v>
      </c>
      <c r="B182" s="4"/>
      <c r="C182" s="4"/>
      <c r="D182" s="4"/>
      <c r="E182" s="4"/>
    </row>
    <row r="183" spans="1:5">
      <c r="A183" s="4" t="s">
        <v>202</v>
      </c>
      <c r="B183" s="4"/>
      <c r="C183" s="4"/>
      <c r="D183" s="4"/>
      <c r="E183" s="4"/>
    </row>
    <row r="184" spans="1:5">
      <c r="A184" s="4" t="s">
        <v>203</v>
      </c>
      <c r="B184" s="4"/>
      <c r="C184" s="4"/>
      <c r="D184" s="4"/>
      <c r="E184" s="4"/>
    </row>
    <row r="185" spans="1:5">
      <c r="A185" s="4" t="s">
        <v>204</v>
      </c>
      <c r="B185" s="4"/>
      <c r="C185" s="4"/>
      <c r="D185" s="4"/>
      <c r="E185" s="4"/>
    </row>
    <row r="186" spans="1:5">
      <c r="A186" s="4"/>
      <c r="B186" s="4"/>
      <c r="C186" s="4"/>
      <c r="D186" s="4"/>
      <c r="E186" s="4"/>
    </row>
    <row r="187" spans="1:5">
      <c r="A187" s="4"/>
      <c r="B187" s="4"/>
      <c r="C187" s="4"/>
      <c r="D187" s="4"/>
      <c r="E187" s="4"/>
    </row>
    <row r="188" spans="1:5">
      <c r="A188" s="4" t="s">
        <v>293</v>
      </c>
      <c r="B188" s="4"/>
      <c r="C188" s="4"/>
      <c r="D188" s="4"/>
      <c r="E188" s="4"/>
    </row>
    <row r="189" spans="1:5">
      <c r="A189" s="4" t="s">
        <v>205</v>
      </c>
      <c r="B189" s="4"/>
      <c r="C189" s="4"/>
      <c r="D189" s="4"/>
      <c r="E189" s="4"/>
    </row>
    <row r="190" spans="1:5">
      <c r="A190" s="4" t="s">
        <v>206</v>
      </c>
      <c r="B190" s="4"/>
      <c r="C190" s="4"/>
      <c r="D190" s="4"/>
      <c r="E190" s="4"/>
    </row>
    <row r="191" spans="1:5">
      <c r="A191" s="4" t="s">
        <v>207</v>
      </c>
      <c r="B191" s="4"/>
      <c r="C191" s="4"/>
      <c r="D191" s="4"/>
      <c r="E191" s="4"/>
    </row>
    <row r="192" spans="1:5">
      <c r="A192" s="4" t="s">
        <v>208</v>
      </c>
      <c r="B192" s="4"/>
      <c r="C192" s="4"/>
      <c r="D192" s="4"/>
      <c r="E192" s="4"/>
    </row>
    <row r="193" spans="1:5">
      <c r="A193" s="4" t="s">
        <v>120</v>
      </c>
      <c r="B193" s="4"/>
      <c r="C193" s="4"/>
      <c r="D193" s="4"/>
      <c r="E193" s="4"/>
    </row>
    <row r="194" spans="1:5">
      <c r="A194" s="4"/>
      <c r="B194" s="4"/>
      <c r="C194" s="4"/>
      <c r="D194" s="4"/>
      <c r="E194" s="4"/>
    </row>
    <row r="195" spans="1:5">
      <c r="A195" s="4"/>
      <c r="B195" s="4"/>
      <c r="C195" s="4"/>
      <c r="D195" s="4"/>
      <c r="E195" s="4"/>
    </row>
    <row r="196" spans="1:5">
      <c r="A196" s="4" t="s">
        <v>294</v>
      </c>
      <c r="B196" s="4"/>
      <c r="C196" s="4"/>
      <c r="D196" s="4"/>
      <c r="E196" s="4"/>
    </row>
    <row r="197" spans="1:5">
      <c r="A197" s="4" t="s">
        <v>279</v>
      </c>
      <c r="B197" s="4"/>
      <c r="C197" s="4"/>
      <c r="D197" s="4"/>
      <c r="E197" s="4"/>
    </row>
    <row r="198" spans="1:5">
      <c r="A198" s="4" t="s">
        <v>209</v>
      </c>
      <c r="B198" s="4"/>
      <c r="C198" s="4"/>
      <c r="D198" s="4"/>
      <c r="E198" s="4"/>
    </row>
    <row r="199" spans="1:5">
      <c r="A199" s="4" t="s">
        <v>210</v>
      </c>
      <c r="B199" s="4"/>
      <c r="C199" s="4"/>
      <c r="D199" s="4"/>
      <c r="E199" s="4"/>
    </row>
    <row r="200" spans="1:5">
      <c r="A200" s="4"/>
      <c r="B200" s="4"/>
      <c r="C200" s="4"/>
      <c r="D200" s="4"/>
      <c r="E200" s="4"/>
    </row>
    <row r="201" spans="1:5">
      <c r="A201" s="4"/>
      <c r="B201" s="4"/>
      <c r="C201" s="4"/>
      <c r="D201" s="4"/>
      <c r="E201" s="4"/>
    </row>
    <row r="202" spans="1:5">
      <c r="A202" s="4" t="s">
        <v>26</v>
      </c>
      <c r="B202" s="4"/>
      <c r="C202" s="4"/>
      <c r="D202" s="4"/>
      <c r="E202" s="4"/>
    </row>
    <row r="203" spans="1:5">
      <c r="A203" s="4" t="s">
        <v>211</v>
      </c>
      <c r="B203" s="4"/>
      <c r="C203" s="4"/>
      <c r="D203" s="4"/>
      <c r="E203" s="4"/>
    </row>
    <row r="204" spans="1:5">
      <c r="A204" s="4" t="s">
        <v>212</v>
      </c>
      <c r="B204" s="4"/>
      <c r="C204" s="4"/>
      <c r="D204" s="4"/>
      <c r="E204" s="4"/>
    </row>
    <row r="205" spans="1:5">
      <c r="A205" s="4" t="s">
        <v>213</v>
      </c>
      <c r="B205" s="4"/>
      <c r="C205" s="4"/>
      <c r="D205" s="4"/>
      <c r="E205" s="4"/>
    </row>
    <row r="206" spans="1:5">
      <c r="A206" s="4"/>
      <c r="B206" s="4"/>
      <c r="C206" s="4"/>
      <c r="D206" s="4"/>
      <c r="E206" s="4"/>
    </row>
    <row r="207" spans="1:5">
      <c r="A207" s="4"/>
      <c r="B207" s="4"/>
      <c r="C207" s="4"/>
      <c r="D207" s="4"/>
      <c r="E207" s="4"/>
    </row>
    <row r="208" spans="1:5">
      <c r="A208" s="4"/>
      <c r="B208" s="4"/>
      <c r="C208" s="4"/>
      <c r="D208" s="4"/>
      <c r="E208" s="4"/>
    </row>
    <row r="209" spans="1:9">
      <c r="A209" s="4"/>
      <c r="B209" s="4"/>
      <c r="C209" s="4"/>
      <c r="D209" s="4"/>
      <c r="E209" s="4"/>
    </row>
    <row r="210" spans="1:9">
      <c r="A210" s="4"/>
      <c r="B210" s="4"/>
      <c r="C210" s="4"/>
      <c r="D210" s="4"/>
      <c r="E210" s="4"/>
    </row>
    <row r="211" spans="1:9">
      <c r="A211" s="4"/>
      <c r="B211" s="4"/>
      <c r="C211" s="4"/>
      <c r="D211" s="4"/>
      <c r="E211" s="4"/>
    </row>
    <row r="212" spans="1:9">
      <c r="A212" s="4" t="s">
        <v>331</v>
      </c>
      <c r="B212" s="4"/>
      <c r="C212" s="4"/>
      <c r="D212" s="4"/>
      <c r="E212" s="4"/>
    </row>
    <row r="213" spans="1:9">
      <c r="A213" s="4" t="s">
        <v>332</v>
      </c>
      <c r="B213" s="4"/>
      <c r="C213" s="4"/>
      <c r="D213" s="4"/>
      <c r="E213" s="4"/>
    </row>
    <row r="214" spans="1:9">
      <c r="A214" s="4" t="s">
        <v>333</v>
      </c>
      <c r="B214" s="4"/>
      <c r="C214" s="4"/>
      <c r="D214" s="4"/>
      <c r="E214" s="4"/>
    </row>
    <row r="215" spans="1:9">
      <c r="A215" s="4"/>
      <c r="B215" s="4"/>
      <c r="C215" s="4"/>
      <c r="D215" s="4"/>
      <c r="E215" s="4"/>
    </row>
    <row r="216" spans="1:9">
      <c r="A216" s="4"/>
      <c r="B216" s="4"/>
      <c r="C216" s="4"/>
      <c r="D216" s="4"/>
      <c r="E216" s="4"/>
    </row>
    <row r="217" spans="1:9">
      <c r="A217" s="4"/>
      <c r="B217" s="4"/>
      <c r="C217" s="4"/>
      <c r="D217" s="4"/>
      <c r="E217" s="4"/>
    </row>
    <row r="218" spans="1:9">
      <c r="A218" s="4"/>
      <c r="B218" s="4"/>
      <c r="C218" s="4"/>
      <c r="D218" s="4"/>
      <c r="E218" s="4"/>
    </row>
    <row r="219" spans="1:9">
      <c r="A219" s="4" t="s">
        <v>352</v>
      </c>
      <c r="B219" s="4"/>
      <c r="C219" s="4"/>
      <c r="D219" s="4"/>
      <c r="E219" s="4"/>
    </row>
    <row r="220" spans="1:9">
      <c r="A220" s="4" t="s">
        <v>27</v>
      </c>
      <c r="B220" s="4"/>
      <c r="C220" s="4"/>
      <c r="D220" s="4"/>
      <c r="E220" s="4"/>
    </row>
    <row r="221" spans="1:9">
      <c r="A221" s="4" t="s">
        <v>28</v>
      </c>
      <c r="B221" s="4"/>
      <c r="C221" s="4"/>
      <c r="D221" s="4"/>
      <c r="E221" s="4"/>
    </row>
    <row r="222" spans="1:9">
      <c r="A222" s="4" t="s">
        <v>121</v>
      </c>
      <c r="B222" s="4"/>
      <c r="C222" s="90"/>
      <c r="D222" s="90"/>
      <c r="E222" s="90"/>
      <c r="F222" s="91"/>
      <c r="G222" s="91"/>
      <c r="H222" s="91"/>
      <c r="I222" s="91"/>
    </row>
    <row r="223" spans="1:9">
      <c r="A223" s="4"/>
      <c r="B223" s="4"/>
      <c r="C223" s="4"/>
      <c r="D223" s="4"/>
      <c r="E223" s="4"/>
    </row>
    <row r="224" spans="1:9">
      <c r="A224" s="4"/>
      <c r="B224" s="4"/>
      <c r="C224" s="4"/>
      <c r="D224" s="4"/>
      <c r="E224" s="4"/>
    </row>
    <row r="225" spans="1:9">
      <c r="A225" s="4" t="s">
        <v>30</v>
      </c>
      <c r="B225" s="4"/>
      <c r="C225" s="4"/>
      <c r="D225" s="4"/>
      <c r="E225" s="4"/>
    </row>
    <row r="226" spans="1:9">
      <c r="A226" s="4"/>
      <c r="B226" s="4"/>
      <c r="C226" s="4"/>
      <c r="D226" s="4"/>
      <c r="E226" s="4"/>
    </row>
    <row r="227" spans="1:9">
      <c r="A227" s="4" t="s">
        <v>31</v>
      </c>
      <c r="B227" s="4"/>
      <c r="C227" s="4"/>
      <c r="D227" s="4"/>
      <c r="E227" s="4"/>
    </row>
    <row r="228" spans="1:9">
      <c r="A228" s="4" t="s">
        <v>29</v>
      </c>
      <c r="B228" s="4"/>
      <c r="C228" s="90"/>
      <c r="D228" s="90"/>
      <c r="E228" s="90"/>
      <c r="F228" s="91"/>
      <c r="G228" s="91"/>
      <c r="H228" s="91"/>
      <c r="I228" s="91"/>
    </row>
    <row r="229" spans="1:9">
      <c r="A229" s="4"/>
      <c r="B229" s="4"/>
      <c r="C229" s="4"/>
      <c r="D229" s="4"/>
      <c r="E229" s="4"/>
    </row>
    <row r="230" spans="1:9">
      <c r="A230" s="4"/>
      <c r="B230" s="4"/>
      <c r="C230" s="4"/>
      <c r="D230" s="4"/>
      <c r="E230" s="4"/>
    </row>
    <row r="231" spans="1:9">
      <c r="A231" s="4" t="s">
        <v>30</v>
      </c>
      <c r="B231" s="4"/>
      <c r="C231" s="4"/>
      <c r="D231" s="4"/>
      <c r="E231" s="4"/>
    </row>
    <row r="232" spans="1:9">
      <c r="A232" s="4"/>
      <c r="B232" s="4"/>
      <c r="C232" s="4"/>
      <c r="D232" s="4"/>
      <c r="E232" s="4"/>
    </row>
    <row r="233" spans="1:9">
      <c r="A233" s="4"/>
      <c r="B233" s="4"/>
      <c r="C233" s="4"/>
      <c r="D233" s="4"/>
      <c r="E233" s="4"/>
    </row>
    <row r="234" spans="1:9">
      <c r="A234" s="4"/>
      <c r="B234" s="4"/>
      <c r="C234" s="4"/>
      <c r="D234" s="4"/>
      <c r="E234" s="4"/>
    </row>
    <row r="235" spans="1:9">
      <c r="A235" s="4" t="s">
        <v>32</v>
      </c>
      <c r="B235" s="4"/>
      <c r="C235" s="4"/>
      <c r="D235" s="4"/>
      <c r="E235" s="4"/>
    </row>
    <row r="236" spans="1:9">
      <c r="A236" s="4" t="s">
        <v>339</v>
      </c>
      <c r="B236" s="4"/>
      <c r="C236" s="4"/>
      <c r="D236" s="4"/>
      <c r="E236" s="4"/>
    </row>
    <row r="237" spans="1:9">
      <c r="A237" s="4" t="s">
        <v>340</v>
      </c>
      <c r="B237" s="4"/>
      <c r="C237" s="4"/>
      <c r="D237" s="4"/>
      <c r="E237" s="4"/>
    </row>
    <row r="238" spans="1:9">
      <c r="A238" s="4" t="s">
        <v>349</v>
      </c>
      <c r="B238" s="4"/>
      <c r="C238" s="4"/>
      <c r="D238" s="4"/>
      <c r="E238" s="4"/>
    </row>
    <row r="239" spans="1:9" ht="16.5">
      <c r="A239" s="7"/>
      <c r="B239" s="7"/>
      <c r="C239" s="7"/>
      <c r="D239" s="7"/>
      <c r="E239" s="7"/>
    </row>
    <row r="240" spans="1:9">
      <c r="A240" s="4"/>
      <c r="B240" s="4"/>
      <c r="C240" s="4"/>
      <c r="D240" s="4"/>
      <c r="E240" s="4"/>
    </row>
    <row r="241" spans="1:16">
      <c r="A241" s="4"/>
      <c r="B241" s="4"/>
      <c r="C241" s="4"/>
      <c r="D241" s="4"/>
      <c r="E241" s="4"/>
    </row>
    <row r="242" spans="1:16">
      <c r="A242" s="4"/>
      <c r="B242" s="4"/>
      <c r="C242" s="4"/>
      <c r="D242" s="4"/>
      <c r="E242" s="4"/>
    </row>
    <row r="243" spans="1:16">
      <c r="A243" s="4"/>
      <c r="B243" s="4"/>
      <c r="C243" s="4"/>
      <c r="D243" s="4"/>
      <c r="E243" s="4"/>
    </row>
    <row r="244" spans="1:16">
      <c r="A244" s="4"/>
      <c r="B244" s="4"/>
      <c r="C244" s="4"/>
      <c r="D244" s="4"/>
      <c r="E244" s="4"/>
    </row>
    <row r="245" spans="1:16" ht="19">
      <c r="A245" s="1" t="s">
        <v>33</v>
      </c>
      <c r="B245" s="1"/>
      <c r="C245" s="1"/>
      <c r="D245" s="1"/>
      <c r="E245" s="1"/>
      <c r="F245" s="2"/>
      <c r="G245" s="2"/>
      <c r="H245" s="2"/>
      <c r="I245" s="2"/>
      <c r="J245" s="2"/>
      <c r="K245" s="2"/>
      <c r="L245" s="2"/>
      <c r="M245" s="2"/>
      <c r="N245" s="2"/>
      <c r="O245" s="2"/>
      <c r="P245" s="2"/>
    </row>
    <row r="246" spans="1:16">
      <c r="A246" s="8" t="s">
        <v>34</v>
      </c>
      <c r="B246" s="8"/>
      <c r="C246" s="8"/>
      <c r="D246" s="8"/>
      <c r="E246" s="8"/>
    </row>
    <row r="247" spans="1:16">
      <c r="A247" s="8" t="s">
        <v>350</v>
      </c>
      <c r="B247" s="8"/>
      <c r="C247" s="8"/>
      <c r="D247" s="8"/>
      <c r="E247" s="8"/>
    </row>
    <row r="248" spans="1:16">
      <c r="A248" s="9"/>
      <c r="B248" s="9"/>
      <c r="C248" s="9"/>
      <c r="D248" s="9"/>
      <c r="E248" s="9"/>
    </row>
    <row r="249" spans="1:16">
      <c r="A249" s="8" t="s">
        <v>35</v>
      </c>
      <c r="B249" s="8"/>
      <c r="C249" s="8"/>
      <c r="D249" s="8"/>
      <c r="E249" s="8"/>
    </row>
    <row r="250" spans="1:16">
      <c r="A250" s="4" t="s">
        <v>36</v>
      </c>
      <c r="B250" s="4"/>
      <c r="C250" s="4"/>
      <c r="D250" s="4"/>
      <c r="E250" s="4"/>
    </row>
    <row r="251" spans="1:16" ht="15" customHeight="1">
      <c r="A251" s="10" t="s">
        <v>37</v>
      </c>
      <c r="B251" s="11"/>
      <c r="C251" s="11"/>
      <c r="D251" s="11"/>
      <c r="E251" s="11"/>
      <c r="F251" s="11"/>
      <c r="G251" s="12" t="s">
        <v>301</v>
      </c>
      <c r="H251" s="13"/>
      <c r="I251" s="13"/>
      <c r="J251" s="14"/>
      <c r="K251" s="14"/>
      <c r="L251" s="14"/>
      <c r="M251" s="14"/>
      <c r="N251" s="14"/>
      <c r="O251" s="14"/>
      <c r="P251" s="15"/>
    </row>
    <row r="252" spans="1:16" ht="15" customHeight="1">
      <c r="A252" s="16" t="s">
        <v>38</v>
      </c>
      <c r="B252" s="17"/>
      <c r="C252" s="17"/>
      <c r="D252" s="17"/>
      <c r="E252" s="17"/>
      <c r="F252" s="17"/>
      <c r="G252" s="18" t="s">
        <v>302</v>
      </c>
      <c r="H252" s="19"/>
      <c r="I252" s="19"/>
      <c r="J252" s="20"/>
      <c r="K252" s="20"/>
      <c r="L252" s="20"/>
      <c r="M252" s="20"/>
      <c r="N252" s="20"/>
      <c r="O252" s="20"/>
      <c r="P252" s="21"/>
    </row>
    <row r="253" spans="1:16" ht="15" customHeight="1">
      <c r="A253" s="16" t="s">
        <v>39</v>
      </c>
      <c r="B253" s="17"/>
      <c r="C253" s="17"/>
      <c r="D253" s="17"/>
      <c r="E253" s="17"/>
      <c r="F253" s="17"/>
      <c r="G253" s="18" t="s">
        <v>341</v>
      </c>
      <c r="H253" s="19"/>
      <c r="I253" s="19"/>
      <c r="J253" s="20"/>
      <c r="K253" s="20"/>
      <c r="L253" s="20"/>
      <c r="M253" s="20"/>
      <c r="N253" s="20"/>
      <c r="O253" s="20"/>
      <c r="P253" s="21"/>
    </row>
    <row r="254" spans="1:16" ht="15" customHeight="1">
      <c r="A254" s="16" t="s">
        <v>40</v>
      </c>
      <c r="B254" s="17"/>
      <c r="C254" s="17"/>
      <c r="D254" s="17"/>
      <c r="E254" s="17"/>
      <c r="F254" s="17"/>
      <c r="G254" s="18" t="s">
        <v>303</v>
      </c>
      <c r="H254" s="19"/>
      <c r="I254" s="19"/>
      <c r="J254" s="20"/>
      <c r="K254" s="20"/>
      <c r="L254" s="20"/>
      <c r="M254" s="20"/>
      <c r="N254" s="20"/>
      <c r="O254" s="20"/>
      <c r="P254" s="21"/>
    </row>
    <row r="255" spans="1:16" ht="15" customHeight="1">
      <c r="A255" s="16" t="s">
        <v>41</v>
      </c>
      <c r="B255" s="17"/>
      <c r="C255" s="17"/>
      <c r="D255" s="17"/>
      <c r="E255" s="17"/>
      <c r="F255" s="17"/>
      <c r="G255" s="18" t="s">
        <v>355</v>
      </c>
      <c r="H255" s="19"/>
      <c r="I255" s="19"/>
      <c r="J255" s="20"/>
      <c r="K255" s="20"/>
      <c r="L255" s="20"/>
      <c r="M255" s="20"/>
      <c r="N255" s="20"/>
      <c r="O255" s="20"/>
      <c r="P255" s="21"/>
    </row>
    <row r="256" spans="1:16" ht="15" customHeight="1">
      <c r="A256" s="22" t="s">
        <v>42</v>
      </c>
      <c r="B256" s="23"/>
      <c r="C256" s="23"/>
      <c r="D256" s="23"/>
      <c r="E256" s="23"/>
      <c r="F256" s="23"/>
      <c r="G256" s="24" t="s">
        <v>304</v>
      </c>
      <c r="H256" s="25"/>
      <c r="I256" s="25"/>
      <c r="J256" s="26"/>
      <c r="K256" s="26"/>
      <c r="L256" s="26"/>
      <c r="M256" s="26"/>
      <c r="N256" s="26"/>
      <c r="O256" s="26"/>
      <c r="P256" s="27"/>
    </row>
    <row r="257" spans="1:16" ht="13.5" customHeight="1">
      <c r="A257" s="4" t="s">
        <v>43</v>
      </c>
      <c r="B257" s="4"/>
      <c r="C257" s="4"/>
      <c r="D257" s="4"/>
      <c r="E257" s="4"/>
    </row>
    <row r="258" spans="1:16">
      <c r="A258" s="4"/>
      <c r="B258" s="4"/>
      <c r="C258" s="4"/>
      <c r="D258" s="4"/>
      <c r="E258" s="4"/>
    </row>
    <row r="259" spans="1:16">
      <c r="A259" s="4" t="s">
        <v>44</v>
      </c>
      <c r="B259" s="4"/>
      <c r="C259" s="4"/>
      <c r="D259" s="4"/>
      <c r="E259" s="4"/>
    </row>
    <row r="260" spans="1:16" ht="21" customHeight="1">
      <c r="A260" s="10" t="s">
        <v>45</v>
      </c>
      <c r="B260" s="11"/>
      <c r="C260" s="11"/>
      <c r="D260" s="11"/>
      <c r="E260" s="11"/>
      <c r="F260" s="28" t="s">
        <v>46</v>
      </c>
      <c r="G260" s="11"/>
      <c r="H260" s="11"/>
      <c r="I260" s="29"/>
      <c r="J260" s="30"/>
      <c r="K260" s="30"/>
      <c r="L260" s="14"/>
      <c r="M260" s="30" t="s">
        <v>47</v>
      </c>
      <c r="N260" s="30"/>
      <c r="O260" s="14"/>
      <c r="P260" s="15"/>
    </row>
    <row r="261" spans="1:16" ht="15" customHeight="1">
      <c r="A261" s="16" t="s">
        <v>48</v>
      </c>
      <c r="B261" s="17"/>
      <c r="C261" s="17"/>
      <c r="D261" s="17"/>
      <c r="E261" s="17"/>
      <c r="F261" s="31" t="s">
        <v>49</v>
      </c>
      <c r="G261" s="17"/>
      <c r="H261" s="17"/>
      <c r="I261" s="32"/>
      <c r="J261" s="33"/>
      <c r="K261" s="33"/>
      <c r="L261" s="20"/>
      <c r="M261" s="33" t="s">
        <v>50</v>
      </c>
      <c r="N261" s="33"/>
      <c r="O261" s="20"/>
      <c r="P261" s="21"/>
    </row>
    <row r="262" spans="1:16" ht="15" customHeight="1">
      <c r="A262" s="16" t="s">
        <v>51</v>
      </c>
      <c r="B262" s="17"/>
      <c r="C262" s="17"/>
      <c r="D262" s="17"/>
      <c r="E262" s="17"/>
      <c r="F262" s="31" t="s">
        <v>307</v>
      </c>
      <c r="G262" s="17"/>
      <c r="H262" s="17"/>
      <c r="I262" s="32"/>
      <c r="J262" s="33"/>
      <c r="K262" s="33"/>
      <c r="L262" s="20"/>
      <c r="M262" s="33" t="s">
        <v>50</v>
      </c>
      <c r="N262" s="33"/>
      <c r="O262" s="20"/>
      <c r="P262" s="21"/>
    </row>
    <row r="263" spans="1:16" ht="15" customHeight="1">
      <c r="A263" s="22" t="s">
        <v>52</v>
      </c>
      <c r="B263" s="23"/>
      <c r="C263" s="23"/>
      <c r="D263" s="23"/>
      <c r="E263" s="23"/>
      <c r="F263" s="34" t="s">
        <v>305</v>
      </c>
      <c r="G263" s="23"/>
      <c r="H263" s="23"/>
      <c r="I263" s="35"/>
      <c r="J263" s="36"/>
      <c r="K263" s="36"/>
      <c r="L263" s="26"/>
      <c r="M263" s="36" t="s">
        <v>306</v>
      </c>
      <c r="N263" s="36"/>
      <c r="O263" s="26"/>
      <c r="P263" s="27"/>
    </row>
    <row r="264" spans="1:16">
      <c r="A264" s="3"/>
      <c r="B264" s="3"/>
      <c r="C264" s="3"/>
      <c r="D264" s="3"/>
      <c r="E264" s="3"/>
    </row>
    <row r="265" spans="1:16">
      <c r="A265" s="4" t="s">
        <v>53</v>
      </c>
      <c r="B265" s="4"/>
      <c r="C265" s="4"/>
      <c r="D265" s="4"/>
      <c r="E265" s="4"/>
    </row>
    <row r="266" spans="1:16" ht="18.399999999999999" customHeight="1">
      <c r="A266" s="37" t="s">
        <v>54</v>
      </c>
      <c r="B266" s="38"/>
      <c r="C266" s="38"/>
      <c r="D266" s="38"/>
      <c r="E266" s="38"/>
      <c r="F266" s="39" t="s">
        <v>55</v>
      </c>
      <c r="G266" s="38"/>
      <c r="H266" s="40"/>
      <c r="I266" s="39"/>
      <c r="J266" s="39" t="s">
        <v>123</v>
      </c>
      <c r="K266" s="40"/>
      <c r="L266" s="38" t="s">
        <v>122</v>
      </c>
      <c r="M266" s="41"/>
      <c r="N266" s="41"/>
      <c r="O266" s="41"/>
      <c r="P266" s="42"/>
    </row>
    <row r="267" spans="1:16" ht="13.5" customHeight="1">
      <c r="A267" s="4" t="s">
        <v>56</v>
      </c>
      <c r="B267" s="4"/>
      <c r="C267" s="4"/>
      <c r="D267" s="4"/>
      <c r="E267" s="4"/>
    </row>
    <row r="268" spans="1:16">
      <c r="A268" s="9"/>
      <c r="B268" s="9"/>
      <c r="C268" s="9"/>
      <c r="D268" s="9"/>
      <c r="E268" s="9"/>
    </row>
    <row r="269" spans="1:16">
      <c r="A269" s="9"/>
      <c r="B269" s="9"/>
      <c r="C269" s="9"/>
      <c r="D269" s="9"/>
      <c r="E269" s="9"/>
    </row>
    <row r="270" spans="1:16">
      <c r="A270" s="8" t="s">
        <v>126</v>
      </c>
      <c r="B270" s="8"/>
      <c r="C270" s="8"/>
      <c r="D270" s="8"/>
      <c r="E270" s="8"/>
    </row>
    <row r="271" spans="1:16" ht="14.25" customHeight="1">
      <c r="A271" s="8" t="s">
        <v>127</v>
      </c>
      <c r="B271" s="8"/>
      <c r="C271" s="8"/>
      <c r="D271" s="8"/>
      <c r="E271" s="8"/>
    </row>
    <row r="272" spans="1:16">
      <c r="A272" s="43" t="s">
        <v>57</v>
      </c>
      <c r="B272" s="44"/>
      <c r="C272" s="44"/>
      <c r="D272" s="44"/>
      <c r="E272" s="44"/>
      <c r="F272" s="43" t="s">
        <v>58</v>
      </c>
      <c r="G272" s="44"/>
      <c r="H272" s="44"/>
      <c r="I272" s="45"/>
      <c r="J272" s="43" t="s">
        <v>12</v>
      </c>
      <c r="K272" s="44"/>
      <c r="L272" s="44"/>
      <c r="M272" s="45"/>
      <c r="N272" s="44" t="s">
        <v>13</v>
      </c>
      <c r="O272" s="46"/>
      <c r="P272" s="47"/>
    </row>
    <row r="273" spans="1:16">
      <c r="A273" s="43" t="s">
        <v>59</v>
      </c>
      <c r="B273" s="44"/>
      <c r="C273" s="44"/>
      <c r="D273" s="44"/>
      <c r="E273" s="44"/>
      <c r="F273" s="43" t="s">
        <v>60</v>
      </c>
      <c r="G273" s="44"/>
      <c r="H273" s="44"/>
      <c r="I273" s="45"/>
      <c r="J273" s="43" t="s">
        <v>61</v>
      </c>
      <c r="K273" s="44"/>
      <c r="L273" s="44"/>
      <c r="M273" s="45"/>
      <c r="N273" s="44" t="s">
        <v>62</v>
      </c>
      <c r="O273" s="46"/>
      <c r="P273" s="47"/>
    </row>
    <row r="274" spans="1:16">
      <c r="A274" s="43" t="s">
        <v>63</v>
      </c>
      <c r="B274" s="44"/>
      <c r="C274" s="44"/>
      <c r="D274" s="44"/>
      <c r="E274" s="44"/>
      <c r="F274" s="43" t="s">
        <v>64</v>
      </c>
      <c r="G274" s="44"/>
      <c r="H274" s="44"/>
      <c r="I274" s="45"/>
      <c r="J274" s="43" t="s">
        <v>65</v>
      </c>
      <c r="K274" s="44"/>
      <c r="L274" s="44"/>
      <c r="M274" s="45"/>
      <c r="N274" s="44" t="s">
        <v>66</v>
      </c>
      <c r="O274" s="46"/>
      <c r="P274" s="47"/>
    </row>
    <row r="275" spans="1:16">
      <c r="A275" s="43" t="s">
        <v>67</v>
      </c>
      <c r="B275" s="44"/>
      <c r="C275" s="44"/>
      <c r="D275" s="44"/>
      <c r="E275" s="44"/>
      <c r="F275" s="43"/>
      <c r="G275" s="44"/>
      <c r="H275" s="44"/>
      <c r="I275" s="45"/>
      <c r="J275" s="43"/>
      <c r="K275" s="44"/>
      <c r="L275" s="44"/>
      <c r="M275" s="47"/>
      <c r="N275" s="46"/>
      <c r="O275" s="46"/>
      <c r="P275" s="47"/>
    </row>
    <row r="276" spans="1:16" ht="14.25" customHeight="1">
      <c r="A276" s="8" t="s">
        <v>68</v>
      </c>
      <c r="B276" s="8"/>
      <c r="C276" s="8"/>
      <c r="D276" s="8"/>
      <c r="E276" s="8"/>
    </row>
    <row r="277" spans="1:16">
      <c r="A277" s="48" t="s">
        <v>61</v>
      </c>
      <c r="B277" s="106"/>
      <c r="C277" s="106"/>
      <c r="D277" s="106"/>
      <c r="E277" s="106"/>
      <c r="F277" s="48" t="s">
        <v>63</v>
      </c>
      <c r="G277" s="106"/>
      <c r="H277" s="106"/>
      <c r="I277" s="107"/>
      <c r="J277" s="48" t="s">
        <v>69</v>
      </c>
      <c r="K277" s="106"/>
      <c r="L277" s="106"/>
      <c r="M277" s="60"/>
      <c r="N277" s="59" t="s">
        <v>124</v>
      </c>
      <c r="O277" s="59"/>
      <c r="P277" s="60"/>
    </row>
    <row r="278" spans="1:16" ht="13.5" customHeight="1">
      <c r="A278" s="8" t="s">
        <v>226</v>
      </c>
      <c r="B278" s="8"/>
      <c r="C278" s="8"/>
      <c r="D278" s="8"/>
      <c r="E278" s="8"/>
    </row>
    <row r="279" spans="1:16" ht="13.5" customHeight="1">
      <c r="A279" s="8" t="s">
        <v>227</v>
      </c>
      <c r="B279" s="8"/>
      <c r="C279" s="8"/>
      <c r="D279" s="8"/>
      <c r="E279" s="8"/>
    </row>
    <row r="280" spans="1:16">
      <c r="A280" s="8" t="s">
        <v>125</v>
      </c>
      <c r="B280" s="8"/>
      <c r="C280" s="8"/>
      <c r="D280" s="8"/>
      <c r="E280" s="8"/>
    </row>
    <row r="281" spans="1:16">
      <c r="A281" s="3"/>
      <c r="B281" s="3"/>
      <c r="C281" s="3"/>
      <c r="D281" s="3"/>
      <c r="E281" s="3"/>
    </row>
    <row r="282" spans="1:16">
      <c r="A282" s="4" t="s">
        <v>70</v>
      </c>
      <c r="B282" s="4"/>
      <c r="C282" s="4"/>
      <c r="D282" s="4"/>
      <c r="E282" s="4"/>
    </row>
    <row r="283" spans="1:16">
      <c r="A283" s="4" t="s">
        <v>71</v>
      </c>
      <c r="B283" s="4"/>
      <c r="C283" s="4"/>
      <c r="D283" s="4"/>
      <c r="E283" s="4"/>
    </row>
    <row r="284" spans="1:16">
      <c r="A284" s="4" t="s">
        <v>228</v>
      </c>
      <c r="B284" s="4"/>
      <c r="C284" s="4"/>
      <c r="D284" s="4"/>
      <c r="E284" s="4"/>
    </row>
    <row r="285" spans="1:16">
      <c r="A285" s="4" t="s">
        <v>229</v>
      </c>
      <c r="B285" s="4"/>
      <c r="C285" s="4"/>
      <c r="D285" s="4"/>
      <c r="E285" s="4"/>
    </row>
    <row r="286" spans="1:16">
      <c r="A286" s="4" t="s">
        <v>230</v>
      </c>
      <c r="B286" s="4"/>
      <c r="C286" s="4"/>
      <c r="D286" s="4"/>
      <c r="E286" s="4"/>
    </row>
    <row r="287" spans="1:16">
      <c r="A287" s="3"/>
      <c r="B287" s="3"/>
      <c r="C287" s="3"/>
      <c r="D287" s="3"/>
      <c r="E287" s="3"/>
    </row>
    <row r="288" spans="1:16">
      <c r="A288" s="4" t="s">
        <v>72</v>
      </c>
      <c r="B288" s="4"/>
      <c r="C288" s="4"/>
      <c r="D288" s="4"/>
      <c r="E288" s="4"/>
    </row>
    <row r="289" spans="1:5">
      <c r="A289" s="4" t="s">
        <v>128</v>
      </c>
      <c r="B289" s="4"/>
      <c r="C289" s="4"/>
      <c r="D289" s="4"/>
      <c r="E289" s="4"/>
    </row>
    <row r="290" spans="1:5">
      <c r="A290" s="4" t="s">
        <v>328</v>
      </c>
      <c r="B290" s="4"/>
      <c r="C290" s="4"/>
      <c r="D290" s="4"/>
      <c r="E290" s="4"/>
    </row>
    <row r="291" spans="1:5">
      <c r="A291" s="4" t="s">
        <v>231</v>
      </c>
      <c r="B291" s="4"/>
      <c r="C291" s="4"/>
      <c r="D291" s="4"/>
      <c r="E291" s="4"/>
    </row>
    <row r="292" spans="1:5">
      <c r="A292" s="4" t="s">
        <v>232</v>
      </c>
      <c r="B292" s="4"/>
      <c r="C292" s="4"/>
      <c r="D292" s="4"/>
      <c r="E292" s="4"/>
    </row>
    <row r="293" spans="1:5">
      <c r="A293" s="4" t="s">
        <v>73</v>
      </c>
      <c r="B293" s="4"/>
      <c r="C293" s="4"/>
      <c r="D293" s="4"/>
      <c r="E293" s="4"/>
    </row>
    <row r="294" spans="1:5">
      <c r="A294" s="4" t="s">
        <v>129</v>
      </c>
      <c r="B294" s="4"/>
      <c r="C294" s="4"/>
      <c r="D294" s="4"/>
      <c r="E294" s="4"/>
    </row>
    <row r="295" spans="1:5">
      <c r="A295" s="4" t="s">
        <v>74</v>
      </c>
      <c r="B295" s="4"/>
      <c r="C295" s="4"/>
      <c r="D295" s="4"/>
      <c r="E295" s="4"/>
    </row>
    <row r="296" spans="1:5">
      <c r="A296" s="4" t="s">
        <v>130</v>
      </c>
      <c r="B296" s="4"/>
      <c r="C296" s="4"/>
      <c r="D296" s="4"/>
      <c r="E296" s="4"/>
    </row>
    <row r="297" spans="1:5">
      <c r="A297" s="49" t="s">
        <v>131</v>
      </c>
      <c r="B297" s="49"/>
      <c r="C297" s="49"/>
      <c r="D297" s="49"/>
      <c r="E297" s="49"/>
    </row>
    <row r="298" spans="1:5">
      <c r="A298" s="4" t="s">
        <v>233</v>
      </c>
      <c r="B298" s="4"/>
      <c r="C298" s="4"/>
      <c r="D298" s="4"/>
      <c r="E298" s="4"/>
    </row>
    <row r="299" spans="1:5">
      <c r="A299" s="49" t="s">
        <v>132</v>
      </c>
      <c r="B299" s="49"/>
      <c r="C299" s="49"/>
      <c r="D299" s="49"/>
      <c r="E299" s="49"/>
    </row>
    <row r="300" spans="1:5">
      <c r="A300" s="49" t="s">
        <v>133</v>
      </c>
      <c r="B300" s="49"/>
      <c r="C300" s="49"/>
      <c r="D300" s="49"/>
      <c r="E300" s="49"/>
    </row>
    <row r="301" spans="1:5">
      <c r="A301" s="49" t="s">
        <v>134</v>
      </c>
      <c r="B301" s="49"/>
      <c r="C301" s="49"/>
      <c r="D301" s="49"/>
      <c r="E301" s="49"/>
    </row>
    <row r="302" spans="1:5">
      <c r="A302" s="4" t="s">
        <v>135</v>
      </c>
      <c r="B302" s="4"/>
      <c r="C302" s="4"/>
      <c r="D302" s="4"/>
      <c r="E302" s="4"/>
    </row>
    <row r="303" spans="1:5">
      <c r="A303" s="4" t="s">
        <v>136</v>
      </c>
      <c r="B303" s="4"/>
      <c r="C303" s="4"/>
      <c r="D303" s="4"/>
      <c r="E303" s="4"/>
    </row>
    <row r="304" spans="1:5">
      <c r="A304" s="4" t="s">
        <v>234</v>
      </c>
      <c r="B304" s="4"/>
      <c r="C304" s="4"/>
      <c r="D304" s="4"/>
      <c r="E304" s="4"/>
    </row>
    <row r="305" spans="1:5">
      <c r="A305" s="4" t="s">
        <v>235</v>
      </c>
      <c r="B305" s="4"/>
      <c r="C305" s="4"/>
      <c r="D305" s="4"/>
      <c r="E305" s="4"/>
    </row>
    <row r="306" spans="1:5">
      <c r="A306" s="4" t="s">
        <v>236</v>
      </c>
      <c r="B306" s="4"/>
      <c r="C306" s="4"/>
      <c r="D306" s="4"/>
      <c r="E306" s="4"/>
    </row>
    <row r="307" spans="1:5">
      <c r="A307" s="4" t="s">
        <v>237</v>
      </c>
      <c r="B307" s="4"/>
      <c r="C307" s="4"/>
      <c r="D307" s="4"/>
      <c r="E307" s="4"/>
    </row>
    <row r="308" spans="1:5">
      <c r="A308" s="4" t="s">
        <v>238</v>
      </c>
      <c r="B308" s="4"/>
      <c r="C308" s="4"/>
      <c r="D308" s="4"/>
      <c r="E308" s="4"/>
    </row>
    <row r="309" spans="1:5">
      <c r="A309" s="4" t="s">
        <v>239</v>
      </c>
      <c r="B309" s="4"/>
      <c r="C309" s="4"/>
      <c r="D309" s="4"/>
      <c r="E309" s="4"/>
    </row>
    <row r="310" spans="1:5">
      <c r="A310" s="3"/>
      <c r="B310" s="3"/>
      <c r="C310" s="3"/>
      <c r="D310" s="3"/>
      <c r="E310" s="3"/>
    </row>
    <row r="311" spans="1:5">
      <c r="A311" s="4" t="s">
        <v>75</v>
      </c>
      <c r="B311" s="4"/>
      <c r="C311" s="4"/>
      <c r="D311" s="4"/>
      <c r="E311" s="4"/>
    </row>
    <row r="312" spans="1:5">
      <c r="A312" s="4" t="s">
        <v>76</v>
      </c>
      <c r="B312" s="4"/>
      <c r="C312" s="4"/>
      <c r="D312" s="4"/>
      <c r="E312" s="4"/>
    </row>
    <row r="313" spans="1:5">
      <c r="A313" s="4" t="s">
        <v>240</v>
      </c>
      <c r="B313" s="4"/>
      <c r="C313" s="4"/>
      <c r="D313" s="4"/>
      <c r="E313" s="4"/>
    </row>
    <row r="314" spans="1:5">
      <c r="A314" s="4" t="s">
        <v>241</v>
      </c>
      <c r="B314" s="4"/>
      <c r="C314" s="4"/>
      <c r="D314" s="4"/>
      <c r="E314" s="4"/>
    </row>
    <row r="315" spans="1:5">
      <c r="A315" s="4" t="s">
        <v>242</v>
      </c>
      <c r="B315" s="4"/>
      <c r="C315" s="4"/>
      <c r="D315" s="4"/>
      <c r="E315" s="4"/>
    </row>
    <row r="316" spans="1:5">
      <c r="A316" s="4" t="s">
        <v>243</v>
      </c>
      <c r="B316" s="4"/>
      <c r="C316" s="4"/>
      <c r="D316" s="4"/>
      <c r="E316" s="4"/>
    </row>
    <row r="317" spans="1:5">
      <c r="A317" s="4" t="s">
        <v>244</v>
      </c>
      <c r="B317" s="4"/>
      <c r="C317" s="4"/>
      <c r="D317" s="4"/>
      <c r="E317" s="4"/>
    </row>
    <row r="318" spans="1:5">
      <c r="A318" s="4" t="s">
        <v>245</v>
      </c>
      <c r="B318" s="4"/>
      <c r="C318" s="4"/>
      <c r="D318" s="4"/>
      <c r="E318" s="4"/>
    </row>
    <row r="319" spans="1:5">
      <c r="A319" s="4" t="s">
        <v>77</v>
      </c>
      <c r="B319" s="4"/>
      <c r="C319" s="4"/>
      <c r="D319" s="4"/>
      <c r="E319" s="4"/>
    </row>
    <row r="320" spans="1:5">
      <c r="A320" s="4" t="s">
        <v>246</v>
      </c>
      <c r="B320" s="4"/>
      <c r="C320" s="4"/>
      <c r="D320" s="4"/>
      <c r="E320" s="4"/>
    </row>
    <row r="321" spans="1:5">
      <c r="A321" s="4" t="s">
        <v>343</v>
      </c>
      <c r="B321" s="4"/>
      <c r="C321" s="4"/>
      <c r="D321" s="4"/>
      <c r="E321" s="4"/>
    </row>
    <row r="322" spans="1:5">
      <c r="A322" s="4" t="s">
        <v>247</v>
      </c>
      <c r="B322" s="4"/>
      <c r="C322" s="4"/>
      <c r="D322" s="4"/>
      <c r="E322" s="4"/>
    </row>
    <row r="323" spans="1:5">
      <c r="A323" s="4" t="s">
        <v>248</v>
      </c>
      <c r="B323" s="4"/>
      <c r="C323" s="4"/>
      <c r="D323" s="4"/>
      <c r="E323" s="4"/>
    </row>
    <row r="324" spans="1:5">
      <c r="A324" s="4" t="s">
        <v>78</v>
      </c>
      <c r="B324" s="4"/>
      <c r="C324" s="4"/>
      <c r="D324" s="4"/>
      <c r="E324" s="4"/>
    </row>
    <row r="325" spans="1:5" s="105" customFormat="1">
      <c r="A325" s="104" t="s">
        <v>324</v>
      </c>
      <c r="B325" s="104"/>
      <c r="C325" s="104"/>
      <c r="D325" s="104"/>
      <c r="E325" s="104"/>
    </row>
    <row r="326" spans="1:5" s="105" customFormat="1">
      <c r="A326" s="104" t="s">
        <v>325</v>
      </c>
      <c r="B326" s="104"/>
      <c r="C326" s="104"/>
      <c r="D326" s="104"/>
      <c r="E326" s="104"/>
    </row>
    <row r="327" spans="1:5" s="105" customFormat="1">
      <c r="A327" s="104" t="s">
        <v>295</v>
      </c>
      <c r="B327" s="104"/>
      <c r="C327" s="104"/>
      <c r="D327" s="104"/>
      <c r="E327" s="104"/>
    </row>
    <row r="328" spans="1:5" s="105" customFormat="1">
      <c r="A328" s="104" t="s">
        <v>296</v>
      </c>
      <c r="B328" s="104"/>
      <c r="C328" s="104"/>
      <c r="D328" s="104"/>
      <c r="E328" s="104"/>
    </row>
    <row r="329" spans="1:5" s="105" customFormat="1">
      <c r="A329" s="104" t="s">
        <v>297</v>
      </c>
      <c r="B329" s="104"/>
      <c r="C329" s="104"/>
      <c r="D329" s="104"/>
      <c r="E329" s="104"/>
    </row>
    <row r="330" spans="1:5">
      <c r="A330" s="3"/>
      <c r="B330" s="3"/>
      <c r="C330" s="3"/>
      <c r="D330" s="3"/>
      <c r="E330" s="3"/>
    </row>
    <row r="331" spans="1:5">
      <c r="A331" s="4" t="s">
        <v>79</v>
      </c>
      <c r="B331" s="4"/>
      <c r="C331" s="4"/>
      <c r="D331" s="4"/>
      <c r="E331" s="4"/>
    </row>
    <row r="332" spans="1:5">
      <c r="A332" s="4" t="s">
        <v>249</v>
      </c>
      <c r="B332" s="4"/>
      <c r="C332" s="4"/>
      <c r="D332" s="4"/>
      <c r="E332" s="4"/>
    </row>
    <row r="333" spans="1:5">
      <c r="A333" s="4" t="s">
        <v>250</v>
      </c>
      <c r="B333" s="4"/>
      <c r="C333" s="4"/>
      <c r="D333" s="4"/>
      <c r="E333" s="4"/>
    </row>
    <row r="334" spans="1:5">
      <c r="A334" s="8"/>
      <c r="B334" s="8"/>
      <c r="C334" s="8" t="s">
        <v>264</v>
      </c>
      <c r="D334" s="8"/>
      <c r="E334" s="8"/>
    </row>
    <row r="335" spans="1:5">
      <c r="A335" s="4"/>
      <c r="B335" s="4"/>
      <c r="C335" s="4" t="s">
        <v>356</v>
      </c>
      <c r="D335" s="4"/>
      <c r="E335" s="4"/>
    </row>
    <row r="336" spans="1:5">
      <c r="A336" s="4"/>
      <c r="B336" s="4"/>
      <c r="C336" s="4" t="s">
        <v>308</v>
      </c>
      <c r="D336" s="4"/>
      <c r="E336" s="4"/>
    </row>
    <row r="337" spans="1:14" ht="14.25" customHeight="1">
      <c r="A337" s="4" t="s">
        <v>80</v>
      </c>
      <c r="B337" s="4"/>
      <c r="C337" s="4"/>
      <c r="D337" s="4"/>
      <c r="E337" s="4"/>
    </row>
    <row r="338" spans="1:14" ht="18" customHeight="1">
      <c r="A338" s="100"/>
      <c r="B338" s="37" t="s">
        <v>81</v>
      </c>
      <c r="C338" s="101"/>
      <c r="D338" s="50" t="s">
        <v>309</v>
      </c>
      <c r="E338" s="50"/>
      <c r="F338" s="50"/>
      <c r="G338" s="50"/>
      <c r="H338" s="50"/>
      <c r="I338" s="51"/>
      <c r="J338" s="38" t="s">
        <v>317</v>
      </c>
      <c r="K338" s="38"/>
      <c r="L338" s="41"/>
      <c r="M338" s="41"/>
      <c r="N338" s="42"/>
    </row>
    <row r="339" spans="1:14" ht="18" customHeight="1">
      <c r="A339" s="100"/>
      <c r="B339" s="37" t="s">
        <v>82</v>
      </c>
      <c r="C339" s="101"/>
      <c r="D339" s="50" t="s">
        <v>83</v>
      </c>
      <c r="E339" s="50"/>
      <c r="F339" s="50"/>
      <c r="G339" s="50"/>
      <c r="H339" s="50"/>
      <c r="I339" s="51"/>
      <c r="J339" s="38" t="s">
        <v>84</v>
      </c>
      <c r="K339" s="38"/>
      <c r="L339" s="41"/>
      <c r="M339" s="41"/>
      <c r="N339" s="42"/>
    </row>
    <row r="340" spans="1:14" ht="18" customHeight="1">
      <c r="A340" s="100"/>
      <c r="B340" s="37" t="s">
        <v>310</v>
      </c>
      <c r="C340" s="101"/>
      <c r="D340" s="50" t="s">
        <v>311</v>
      </c>
      <c r="E340" s="50"/>
      <c r="F340" s="50"/>
      <c r="G340" s="50"/>
      <c r="H340" s="50"/>
      <c r="I340" s="51"/>
      <c r="J340" s="38" t="s">
        <v>318</v>
      </c>
      <c r="K340" s="38"/>
      <c r="L340" s="41"/>
      <c r="M340" s="41"/>
      <c r="N340" s="42"/>
    </row>
    <row r="341" spans="1:14" ht="18" customHeight="1">
      <c r="A341" s="100"/>
      <c r="B341" s="37" t="s">
        <v>312</v>
      </c>
      <c r="C341" s="101"/>
      <c r="D341" s="50" t="s">
        <v>313</v>
      </c>
      <c r="E341" s="50"/>
      <c r="F341" s="50"/>
      <c r="G341" s="50"/>
      <c r="H341" s="50"/>
      <c r="I341" s="51"/>
      <c r="J341" s="38" t="s">
        <v>319</v>
      </c>
      <c r="K341" s="38"/>
      <c r="L341" s="41"/>
      <c r="M341" s="41"/>
      <c r="N341" s="42"/>
    </row>
    <row r="342" spans="1:14" ht="18" customHeight="1">
      <c r="A342" s="100"/>
      <c r="B342" s="37" t="s">
        <v>85</v>
      </c>
      <c r="C342" s="101"/>
      <c r="D342" s="50" t="s">
        <v>314</v>
      </c>
      <c r="E342" s="50"/>
      <c r="F342" s="50"/>
      <c r="G342" s="50"/>
      <c r="H342" s="50"/>
      <c r="I342" s="51"/>
      <c r="J342" s="38" t="s">
        <v>320</v>
      </c>
      <c r="K342" s="38"/>
      <c r="L342" s="41"/>
      <c r="M342" s="41"/>
      <c r="N342" s="42"/>
    </row>
    <row r="343" spans="1:14" ht="18" customHeight="1">
      <c r="A343" s="100"/>
      <c r="B343" s="37" t="s">
        <v>315</v>
      </c>
      <c r="C343" s="101"/>
      <c r="D343" s="50" t="s">
        <v>316</v>
      </c>
      <c r="E343" s="50"/>
      <c r="F343" s="50"/>
      <c r="G343" s="50"/>
      <c r="H343" s="50"/>
      <c r="I343" s="51"/>
      <c r="J343" s="38" t="s">
        <v>321</v>
      </c>
      <c r="K343" s="38"/>
      <c r="L343" s="41"/>
      <c r="M343" s="41"/>
      <c r="N343" s="42"/>
    </row>
    <row r="344" spans="1:14" ht="18" customHeight="1">
      <c r="A344" s="100"/>
      <c r="B344" s="37"/>
      <c r="C344" s="101"/>
      <c r="D344" s="50"/>
      <c r="E344" s="50"/>
      <c r="F344" s="50"/>
      <c r="G344" s="50"/>
      <c r="H344" s="50"/>
      <c r="I344" s="51"/>
      <c r="J344" s="38"/>
      <c r="K344" s="38"/>
      <c r="L344" s="41"/>
      <c r="M344" s="41"/>
      <c r="N344" s="42"/>
    </row>
    <row r="345" spans="1:14" ht="16.5" customHeight="1">
      <c r="A345" s="108" t="s">
        <v>353</v>
      </c>
      <c r="B345" s="52"/>
      <c r="C345" s="52"/>
      <c r="D345" s="52"/>
      <c r="E345" s="52"/>
    </row>
    <row r="346" spans="1:14" ht="13.5" customHeight="1">
      <c r="A346" s="53" t="s">
        <v>148</v>
      </c>
      <c r="B346" s="53"/>
      <c r="C346" s="53"/>
      <c r="D346" s="53"/>
      <c r="E346" s="53"/>
    </row>
    <row r="347" spans="1:14" ht="13.5" customHeight="1">
      <c r="A347" s="53" t="s">
        <v>149</v>
      </c>
      <c r="B347" s="53"/>
      <c r="C347" s="53"/>
      <c r="D347" s="53"/>
      <c r="E347" s="53"/>
    </row>
    <row r="348" spans="1:14" ht="13.5" customHeight="1">
      <c r="A348" s="53" t="s">
        <v>346</v>
      </c>
      <c r="B348" s="53"/>
      <c r="C348" s="53"/>
      <c r="D348" s="53"/>
      <c r="E348" s="53"/>
    </row>
    <row r="349" spans="1:14" ht="13.5" customHeight="1">
      <c r="A349" s="53" t="s">
        <v>86</v>
      </c>
      <c r="B349" s="53"/>
      <c r="C349" s="53"/>
      <c r="D349" s="53"/>
      <c r="E349" s="53"/>
    </row>
    <row r="350" spans="1:14" ht="13.5" customHeight="1">
      <c r="A350" s="53" t="s">
        <v>342</v>
      </c>
      <c r="B350" s="53"/>
      <c r="C350" s="53"/>
      <c r="D350" s="53"/>
      <c r="E350" s="53"/>
    </row>
    <row r="351" spans="1:14" ht="13.5" customHeight="1">
      <c r="A351" s="53" t="s">
        <v>322</v>
      </c>
      <c r="B351" s="53"/>
      <c r="C351" s="53"/>
      <c r="D351" s="53"/>
      <c r="E351" s="53"/>
    </row>
    <row r="352" spans="1:14" ht="13.5" customHeight="1">
      <c r="A352" s="53" t="s">
        <v>351</v>
      </c>
      <c r="B352" s="53"/>
      <c r="C352" s="53"/>
      <c r="D352" s="53"/>
      <c r="E352" s="53"/>
    </row>
    <row r="353" spans="1:16" ht="13.5" customHeight="1">
      <c r="A353" s="53"/>
      <c r="B353" s="53"/>
      <c r="C353" s="53"/>
      <c r="D353" s="53"/>
      <c r="E353" s="53"/>
    </row>
    <row r="354" spans="1:16" ht="13.5" customHeight="1">
      <c r="A354" s="53" t="s">
        <v>87</v>
      </c>
      <c r="B354" s="53"/>
      <c r="C354" s="53"/>
      <c r="D354" s="53"/>
      <c r="E354" s="53"/>
    </row>
    <row r="355" spans="1:16" ht="13.5" customHeight="1">
      <c r="A355" s="53" t="s">
        <v>88</v>
      </c>
      <c r="B355" s="53"/>
      <c r="C355" s="53"/>
      <c r="D355" s="53"/>
      <c r="E355" s="53"/>
    </row>
    <row r="356" spans="1:16" ht="13.5" customHeight="1">
      <c r="A356" s="53" t="s">
        <v>89</v>
      </c>
      <c r="B356" s="53"/>
      <c r="C356" s="53"/>
      <c r="D356" s="53"/>
      <c r="E356" s="53"/>
    </row>
    <row r="357" spans="1:16" ht="13.5" customHeight="1">
      <c r="A357" s="53" t="s">
        <v>150</v>
      </c>
      <c r="B357" s="53"/>
      <c r="C357" s="53"/>
      <c r="D357" s="53"/>
      <c r="E357" s="53"/>
    </row>
    <row r="358" spans="1:16" ht="13.5" customHeight="1">
      <c r="A358" s="53" t="s">
        <v>151</v>
      </c>
      <c r="B358" s="53"/>
      <c r="C358" s="53"/>
      <c r="D358" s="53"/>
      <c r="E358" s="53"/>
    </row>
    <row r="359" spans="1:16" ht="13.5" customHeight="1">
      <c r="A359" s="53" t="s">
        <v>90</v>
      </c>
      <c r="B359" s="53"/>
      <c r="C359" s="53"/>
      <c r="D359" s="53"/>
      <c r="E359" s="53"/>
    </row>
    <row r="360" spans="1:16" ht="13.5" customHeight="1">
      <c r="A360" s="53"/>
      <c r="B360" s="53"/>
      <c r="C360" s="53"/>
      <c r="D360" s="53"/>
      <c r="E360" s="53"/>
    </row>
    <row r="361" spans="1:16" ht="13.5" customHeight="1">
      <c r="A361" s="53" t="s">
        <v>137</v>
      </c>
      <c r="B361" s="53"/>
      <c r="C361" s="53"/>
      <c r="D361" s="53"/>
      <c r="E361" s="53"/>
    </row>
    <row r="362" spans="1:16" ht="16.5">
      <c r="A362" s="54" t="s">
        <v>91</v>
      </c>
      <c r="B362" s="54"/>
      <c r="C362" s="54"/>
      <c r="D362" s="54"/>
      <c r="E362" s="54"/>
      <c r="F362" s="2"/>
      <c r="G362" s="2"/>
      <c r="H362" s="2"/>
      <c r="I362" s="2"/>
      <c r="J362" s="2"/>
      <c r="K362" s="2"/>
      <c r="L362" s="2"/>
      <c r="M362" s="2"/>
      <c r="N362" s="2"/>
      <c r="O362" s="2"/>
      <c r="P362" s="2"/>
    </row>
    <row r="363" spans="1:16" ht="18" customHeight="1">
      <c r="A363" s="55"/>
      <c r="B363" s="55"/>
      <c r="C363" s="55"/>
      <c r="D363" s="55"/>
      <c r="E363" s="55"/>
    </row>
    <row r="364" spans="1:16" ht="18" customHeight="1">
      <c r="A364" s="56"/>
      <c r="B364" s="56"/>
      <c r="C364" s="56"/>
      <c r="D364" s="56"/>
      <c r="E364" s="56"/>
    </row>
    <row r="365" spans="1:16" ht="18" customHeight="1">
      <c r="A365" s="57" t="s">
        <v>92</v>
      </c>
      <c r="B365" s="57"/>
      <c r="C365" s="57"/>
      <c r="D365" s="57"/>
      <c r="E365" s="57"/>
    </row>
    <row r="366" spans="1:16" ht="18" customHeight="1">
      <c r="A366" s="102" t="s">
        <v>93</v>
      </c>
      <c r="B366" s="58"/>
      <c r="C366" s="58"/>
      <c r="D366" s="58"/>
      <c r="E366" s="58"/>
      <c r="F366" s="58" t="s">
        <v>94</v>
      </c>
      <c r="G366" s="58"/>
      <c r="H366" s="58"/>
      <c r="I366" s="58"/>
      <c r="J366" s="58"/>
      <c r="K366" s="58"/>
      <c r="L366" s="58"/>
      <c r="M366" s="59"/>
      <c r="N366" s="59"/>
      <c r="O366" s="59"/>
      <c r="P366" s="60"/>
    </row>
    <row r="367" spans="1:16" ht="18" customHeight="1">
      <c r="A367" s="61">
        <v>1</v>
      </c>
      <c r="B367" s="62"/>
      <c r="C367" s="62" t="s">
        <v>139</v>
      </c>
      <c r="D367" s="62"/>
      <c r="E367" s="62"/>
      <c r="F367" s="62"/>
      <c r="G367" s="62"/>
      <c r="H367" s="62"/>
      <c r="I367" s="62"/>
      <c r="J367" s="62"/>
      <c r="K367" s="62"/>
      <c r="L367" s="62"/>
      <c r="M367" s="63"/>
      <c r="N367" s="63"/>
      <c r="O367" s="64"/>
      <c r="P367" s="65"/>
    </row>
    <row r="368" spans="1:16" ht="18" customHeight="1">
      <c r="A368" s="61"/>
      <c r="B368" s="62"/>
      <c r="C368" s="62"/>
      <c r="D368" s="62"/>
      <c r="E368" s="62"/>
      <c r="F368" s="62"/>
      <c r="G368" s="62"/>
      <c r="H368" s="62"/>
      <c r="I368" s="62"/>
      <c r="J368" s="62"/>
      <c r="K368" s="62"/>
      <c r="L368" s="62"/>
      <c r="M368" s="63"/>
      <c r="N368" s="63"/>
      <c r="O368" s="63"/>
      <c r="P368" s="66"/>
    </row>
    <row r="369" spans="1:16" ht="18" customHeight="1">
      <c r="A369" s="67"/>
      <c r="B369" s="68"/>
      <c r="C369" s="68"/>
      <c r="D369" s="68"/>
      <c r="E369" s="68"/>
      <c r="F369" s="68"/>
      <c r="G369" s="68"/>
      <c r="H369" s="68"/>
      <c r="I369" s="68"/>
      <c r="J369" s="68"/>
      <c r="K369" s="68"/>
      <c r="L369" s="68"/>
      <c r="M369" s="69"/>
      <c r="N369" s="69"/>
      <c r="O369" s="69"/>
      <c r="P369" s="70"/>
    </row>
    <row r="370" spans="1:16" ht="18" customHeight="1">
      <c r="A370" s="71">
        <v>2</v>
      </c>
      <c r="B370" s="72"/>
      <c r="C370" s="72" t="s">
        <v>140</v>
      </c>
      <c r="D370" s="72"/>
      <c r="E370" s="72"/>
      <c r="F370" s="72"/>
      <c r="G370" s="72"/>
      <c r="H370" s="72"/>
      <c r="I370" s="72"/>
      <c r="J370" s="72"/>
      <c r="K370" s="72"/>
      <c r="L370" s="72"/>
      <c r="M370" s="64"/>
      <c r="N370" s="64"/>
      <c r="O370" s="64"/>
      <c r="P370" s="65"/>
    </row>
    <row r="371" spans="1:16" ht="18" customHeight="1">
      <c r="A371" s="61"/>
      <c r="B371" s="62"/>
      <c r="C371" s="62"/>
      <c r="D371" s="62"/>
      <c r="E371" s="62"/>
      <c r="F371" s="62"/>
      <c r="G371" s="62"/>
      <c r="H371" s="62"/>
      <c r="I371" s="62"/>
      <c r="J371" s="62"/>
      <c r="K371" s="62"/>
      <c r="L371" s="62"/>
      <c r="M371" s="63"/>
      <c r="N371" s="63"/>
      <c r="O371" s="63"/>
      <c r="P371" s="66"/>
    </row>
    <row r="372" spans="1:16" ht="18" customHeight="1">
      <c r="A372" s="67"/>
      <c r="B372" s="68"/>
      <c r="C372" s="68"/>
      <c r="D372" s="68"/>
      <c r="E372" s="68"/>
      <c r="F372" s="68"/>
      <c r="G372" s="68"/>
      <c r="H372" s="68"/>
      <c r="I372" s="68"/>
      <c r="J372" s="68"/>
      <c r="K372" s="68"/>
      <c r="L372" s="68"/>
      <c r="M372" s="69"/>
      <c r="N372" s="69"/>
      <c r="O372" s="69"/>
      <c r="P372" s="70"/>
    </row>
    <row r="373" spans="1:16" ht="18" customHeight="1">
      <c r="A373" s="71">
        <v>3</v>
      </c>
      <c r="B373" s="72"/>
      <c r="C373" s="72" t="s">
        <v>141</v>
      </c>
      <c r="D373" s="72"/>
      <c r="E373" s="72"/>
      <c r="F373" s="72"/>
      <c r="G373" s="72"/>
      <c r="H373" s="72"/>
      <c r="I373" s="72"/>
      <c r="J373" s="72"/>
      <c r="K373" s="72"/>
      <c r="L373" s="72"/>
      <c r="M373" s="64"/>
      <c r="N373" s="64"/>
      <c r="O373" s="64"/>
      <c r="P373" s="65"/>
    </row>
    <row r="374" spans="1:16" ht="18" customHeight="1">
      <c r="A374" s="61"/>
      <c r="B374" s="62"/>
      <c r="C374" s="62"/>
      <c r="D374" s="62"/>
      <c r="E374" s="62"/>
      <c r="F374" s="62"/>
      <c r="G374" s="62"/>
      <c r="H374" s="62"/>
      <c r="I374" s="62"/>
      <c r="J374" s="62"/>
      <c r="K374" s="62"/>
      <c r="L374" s="62"/>
      <c r="M374" s="63"/>
      <c r="N374" s="63"/>
      <c r="O374" s="63"/>
      <c r="P374" s="66"/>
    </row>
    <row r="375" spans="1:16" ht="18" customHeight="1">
      <c r="A375" s="67"/>
      <c r="B375" s="68"/>
      <c r="C375" s="68"/>
      <c r="D375" s="68"/>
      <c r="E375" s="68"/>
      <c r="F375" s="68"/>
      <c r="G375" s="68"/>
      <c r="H375" s="68"/>
      <c r="I375" s="68"/>
      <c r="J375" s="68"/>
      <c r="K375" s="68"/>
      <c r="L375" s="68"/>
      <c r="M375" s="69"/>
      <c r="N375" s="69"/>
      <c r="O375" s="69"/>
      <c r="P375" s="70"/>
    </row>
    <row r="376" spans="1:16" ht="18" customHeight="1">
      <c r="A376" s="73"/>
      <c r="B376" s="73"/>
      <c r="C376" s="73"/>
      <c r="D376" s="73"/>
      <c r="E376" s="73"/>
      <c r="F376" s="73"/>
      <c r="G376" s="73"/>
      <c r="H376" s="73"/>
      <c r="I376" s="73"/>
      <c r="J376" s="62"/>
      <c r="K376" s="62"/>
      <c r="L376" s="73"/>
      <c r="M376" s="63"/>
      <c r="N376" s="63"/>
      <c r="O376" s="63"/>
      <c r="P376" s="74" t="s">
        <v>142</v>
      </c>
    </row>
    <row r="377" spans="1:16" ht="18" customHeight="1">
      <c r="A377" s="73"/>
      <c r="B377" s="73"/>
      <c r="C377" s="73"/>
      <c r="D377" s="73"/>
      <c r="E377" s="73"/>
      <c r="F377" s="73"/>
      <c r="G377" s="73"/>
      <c r="H377" s="73"/>
      <c r="I377" s="73"/>
      <c r="J377" s="75"/>
      <c r="K377" s="75"/>
      <c r="L377" s="73"/>
      <c r="M377" s="63"/>
      <c r="N377" s="63"/>
      <c r="O377" s="63"/>
      <c r="P377" s="76"/>
    </row>
    <row r="378" spans="1:16" ht="18" customHeight="1">
      <c r="A378" s="73"/>
      <c r="B378" s="73"/>
      <c r="C378" s="73"/>
      <c r="D378" s="73"/>
      <c r="E378" s="73"/>
      <c r="F378" s="73"/>
      <c r="G378" s="73"/>
      <c r="H378" s="73"/>
      <c r="I378" s="73"/>
      <c r="J378" s="75"/>
      <c r="K378" s="75"/>
      <c r="L378" s="73"/>
      <c r="M378" s="63"/>
      <c r="N378" s="63"/>
      <c r="O378" s="63"/>
      <c r="P378" s="77" t="s">
        <v>143</v>
      </c>
    </row>
    <row r="379" spans="1:16" ht="18" customHeight="1">
      <c r="A379" s="73"/>
      <c r="B379" s="73"/>
      <c r="C379" s="73"/>
      <c r="D379" s="73"/>
      <c r="E379" s="73"/>
      <c r="F379" s="73"/>
      <c r="G379" s="73"/>
      <c r="H379" s="73"/>
      <c r="I379" s="73"/>
      <c r="J379" s="78"/>
      <c r="K379" s="78"/>
      <c r="L379" s="73"/>
      <c r="M379" s="63"/>
      <c r="N379" s="63"/>
      <c r="O379" s="63"/>
      <c r="P379" s="79"/>
    </row>
    <row r="380" spans="1:16" ht="18" customHeight="1">
      <c r="A380" s="62"/>
      <c r="B380" s="62"/>
      <c r="C380" s="62"/>
      <c r="D380" s="62"/>
      <c r="E380" s="62"/>
      <c r="F380" s="63"/>
      <c r="G380" s="63"/>
      <c r="H380" s="63"/>
      <c r="I380" s="63"/>
      <c r="J380" s="63"/>
      <c r="K380" s="63"/>
      <c r="L380" s="63"/>
      <c r="M380" s="63"/>
      <c r="N380" s="63"/>
      <c r="O380" s="63"/>
      <c r="P380" s="63"/>
    </row>
    <row r="381" spans="1:16" ht="18" customHeight="1">
      <c r="A381" s="62" t="s">
        <v>282</v>
      </c>
      <c r="B381" s="62"/>
      <c r="C381" s="62"/>
      <c r="D381" s="62"/>
      <c r="E381" s="62"/>
      <c r="F381" s="63"/>
      <c r="G381" s="63"/>
      <c r="H381" s="63"/>
      <c r="I381" s="63"/>
      <c r="J381" s="63"/>
      <c r="K381" s="63"/>
      <c r="L381" s="63"/>
      <c r="M381" s="63"/>
      <c r="N381" s="63"/>
      <c r="O381" s="63"/>
      <c r="P381" s="63"/>
    </row>
    <row r="382" spans="1:16" ht="18" customHeight="1">
      <c r="A382" s="102" t="s">
        <v>93</v>
      </c>
      <c r="B382" s="58"/>
      <c r="C382" s="58"/>
      <c r="D382" s="58"/>
      <c r="E382" s="58"/>
      <c r="F382" s="58" t="s">
        <v>94</v>
      </c>
      <c r="G382" s="58"/>
      <c r="H382" s="58"/>
      <c r="I382" s="58"/>
      <c r="J382" s="58"/>
      <c r="K382" s="58"/>
      <c r="L382" s="58"/>
      <c r="M382" s="59"/>
      <c r="N382" s="59"/>
      <c r="O382" s="59"/>
      <c r="P382" s="60"/>
    </row>
    <row r="383" spans="1:16" ht="18" customHeight="1">
      <c r="A383" s="61">
        <v>1</v>
      </c>
      <c r="B383" s="62"/>
      <c r="C383" s="62" t="s">
        <v>144</v>
      </c>
      <c r="D383" s="62"/>
      <c r="E383" s="62"/>
      <c r="F383" s="62"/>
      <c r="G383" s="62"/>
      <c r="H383" s="62"/>
      <c r="I383" s="62"/>
      <c r="J383" s="62"/>
      <c r="K383" s="62"/>
      <c r="L383" s="62"/>
      <c r="M383" s="63"/>
      <c r="N383" s="63"/>
      <c r="O383" s="64"/>
      <c r="P383" s="65"/>
    </row>
    <row r="384" spans="1:16" ht="18" customHeight="1">
      <c r="A384" s="61"/>
      <c r="B384" s="62"/>
      <c r="C384" s="62"/>
      <c r="D384" s="62"/>
      <c r="E384" s="62"/>
      <c r="F384" s="62"/>
      <c r="G384" s="62"/>
      <c r="H384" s="62"/>
      <c r="I384" s="62"/>
      <c r="J384" s="62"/>
      <c r="K384" s="62"/>
      <c r="L384" s="62"/>
      <c r="M384" s="63"/>
      <c r="N384" s="63"/>
      <c r="O384" s="63"/>
      <c r="P384" s="66"/>
    </row>
    <row r="385" spans="1:16" ht="18" customHeight="1">
      <c r="A385" s="67"/>
      <c r="B385" s="68"/>
      <c r="C385" s="68"/>
      <c r="D385" s="68"/>
      <c r="E385" s="68"/>
      <c r="F385" s="68"/>
      <c r="G385" s="68"/>
      <c r="H385" s="68"/>
      <c r="I385" s="68"/>
      <c r="J385" s="68"/>
      <c r="K385" s="68"/>
      <c r="L385" s="68"/>
      <c r="M385" s="69"/>
      <c r="N385" s="69"/>
      <c r="O385" s="69"/>
      <c r="P385" s="70"/>
    </row>
    <row r="386" spans="1:16" ht="18" customHeight="1">
      <c r="A386" s="71">
        <v>2</v>
      </c>
      <c r="B386" s="72"/>
      <c r="C386" s="72" t="s">
        <v>145</v>
      </c>
      <c r="D386" s="72"/>
      <c r="E386" s="72"/>
      <c r="F386" s="72"/>
      <c r="G386" s="72"/>
      <c r="H386" s="72"/>
      <c r="I386" s="72"/>
      <c r="J386" s="72"/>
      <c r="K386" s="72"/>
      <c r="L386" s="72"/>
      <c r="M386" s="64"/>
      <c r="N386" s="64"/>
      <c r="O386" s="64"/>
      <c r="P386" s="65"/>
    </row>
    <row r="387" spans="1:16" ht="18" customHeight="1">
      <c r="A387" s="61"/>
      <c r="B387" s="62"/>
      <c r="C387" s="62"/>
      <c r="D387" s="62"/>
      <c r="E387" s="62"/>
      <c r="F387" s="62"/>
      <c r="G387" s="62"/>
      <c r="H387" s="62"/>
      <c r="I387" s="62"/>
      <c r="J387" s="62"/>
      <c r="K387" s="62"/>
      <c r="L387" s="62"/>
      <c r="M387" s="63"/>
      <c r="N387" s="63"/>
      <c r="O387" s="63"/>
      <c r="P387" s="66"/>
    </row>
    <row r="388" spans="1:16" ht="18" customHeight="1">
      <c r="A388" s="67"/>
      <c r="B388" s="68"/>
      <c r="C388" s="68"/>
      <c r="D388" s="68"/>
      <c r="E388" s="68"/>
      <c r="F388" s="68"/>
      <c r="G388" s="68"/>
      <c r="H388" s="68"/>
      <c r="I388" s="68"/>
      <c r="J388" s="68"/>
      <c r="K388" s="68"/>
      <c r="L388" s="68"/>
      <c r="M388" s="69"/>
      <c r="N388" s="69"/>
      <c r="O388" s="69"/>
      <c r="P388" s="70"/>
    </row>
    <row r="389" spans="1:16" ht="18" customHeight="1">
      <c r="A389" s="73"/>
      <c r="B389" s="73"/>
      <c r="C389" s="73"/>
      <c r="D389" s="73"/>
      <c r="E389" s="73"/>
      <c r="F389" s="73"/>
      <c r="G389" s="73"/>
      <c r="H389" s="73"/>
      <c r="I389" s="73"/>
      <c r="J389" s="62"/>
      <c r="K389" s="62"/>
      <c r="L389" s="73"/>
      <c r="M389" s="63"/>
      <c r="N389" s="63"/>
      <c r="O389" s="63"/>
      <c r="P389" s="74" t="s">
        <v>142</v>
      </c>
    </row>
    <row r="390" spans="1:16" ht="18" customHeight="1">
      <c r="A390" s="73"/>
      <c r="B390" s="73"/>
      <c r="C390" s="73"/>
      <c r="D390" s="73"/>
      <c r="E390" s="73"/>
      <c r="F390" s="73"/>
      <c r="G390" s="73"/>
      <c r="H390" s="73"/>
      <c r="I390" s="73"/>
      <c r="J390" s="75"/>
      <c r="K390" s="75"/>
      <c r="L390" s="73"/>
      <c r="M390" s="63"/>
      <c r="N390" s="63"/>
      <c r="O390" s="63"/>
      <c r="P390" s="76"/>
    </row>
    <row r="391" spans="1:16" ht="18" customHeight="1">
      <c r="A391" s="73"/>
      <c r="B391" s="73"/>
      <c r="C391" s="73"/>
      <c r="D391" s="73"/>
      <c r="E391" s="73"/>
      <c r="F391" s="73"/>
      <c r="G391" s="73"/>
      <c r="H391" s="73"/>
      <c r="I391" s="73"/>
      <c r="J391" s="75"/>
      <c r="K391" s="75"/>
      <c r="L391" s="73"/>
      <c r="M391" s="63"/>
      <c r="N391" s="63"/>
      <c r="O391" s="63"/>
      <c r="P391" s="77" t="s">
        <v>143</v>
      </c>
    </row>
    <row r="392" spans="1:16" ht="18" customHeight="1">
      <c r="A392" s="73"/>
      <c r="B392" s="73"/>
      <c r="C392" s="73"/>
      <c r="D392" s="73"/>
      <c r="E392" s="73"/>
      <c r="F392" s="73"/>
      <c r="G392" s="73"/>
      <c r="H392" s="73"/>
      <c r="I392" s="73"/>
      <c r="J392" s="78"/>
      <c r="K392" s="78"/>
      <c r="L392" s="73"/>
      <c r="M392" s="63"/>
      <c r="N392" s="63"/>
      <c r="O392" s="63"/>
      <c r="P392" s="77"/>
    </row>
    <row r="393" spans="1:16" ht="18" customHeight="1">
      <c r="A393" s="73"/>
      <c r="B393" s="73"/>
      <c r="C393" s="73"/>
      <c r="D393" s="73"/>
      <c r="E393" s="73"/>
      <c r="F393" s="73"/>
      <c r="G393" s="73"/>
      <c r="H393" s="73"/>
      <c r="I393" s="73"/>
      <c r="J393" s="75"/>
      <c r="K393" s="75"/>
      <c r="L393" s="73"/>
      <c r="M393" s="63"/>
      <c r="N393" s="63"/>
      <c r="O393" s="63"/>
      <c r="P393" s="64"/>
    </row>
    <row r="394" spans="1:16" ht="18" customHeight="1">
      <c r="A394" s="62" t="s">
        <v>95</v>
      </c>
      <c r="B394" s="62"/>
      <c r="C394" s="62"/>
      <c r="D394" s="62"/>
      <c r="E394" s="62"/>
      <c r="F394" s="63"/>
      <c r="G394" s="63"/>
      <c r="H394" s="63"/>
      <c r="I394" s="63"/>
      <c r="J394" s="63"/>
      <c r="K394" s="63"/>
      <c r="L394" s="63"/>
      <c r="M394" s="63"/>
      <c r="N394" s="63"/>
      <c r="O394" s="63"/>
      <c r="P394" s="63"/>
    </row>
    <row r="395" spans="1:16" ht="18" customHeight="1">
      <c r="A395" s="102" t="s">
        <v>93</v>
      </c>
      <c r="B395" s="58"/>
      <c r="C395" s="58"/>
      <c r="D395" s="58"/>
      <c r="E395" s="58"/>
      <c r="F395" s="58" t="s">
        <v>94</v>
      </c>
      <c r="G395" s="58"/>
      <c r="H395" s="58"/>
      <c r="I395" s="58"/>
      <c r="J395" s="58"/>
      <c r="K395" s="58"/>
      <c r="L395" s="58"/>
      <c r="M395" s="59"/>
      <c r="N395" s="59"/>
      <c r="O395" s="59"/>
      <c r="P395" s="60"/>
    </row>
    <row r="396" spans="1:16" ht="18" customHeight="1">
      <c r="A396" s="61">
        <v>1</v>
      </c>
      <c r="B396" s="62"/>
      <c r="C396" s="62" t="s">
        <v>146</v>
      </c>
      <c r="D396" s="62"/>
      <c r="E396" s="62"/>
      <c r="F396" s="62"/>
      <c r="G396" s="62"/>
      <c r="H396" s="62"/>
      <c r="I396" s="62"/>
      <c r="J396" s="62"/>
      <c r="K396" s="62"/>
      <c r="L396" s="62"/>
      <c r="M396" s="63"/>
      <c r="N396" s="63"/>
      <c r="O396" s="64"/>
      <c r="P396" s="65"/>
    </row>
    <row r="397" spans="1:16" ht="18" customHeight="1">
      <c r="A397" s="61"/>
      <c r="B397" s="62"/>
      <c r="C397" s="62"/>
      <c r="D397" s="62"/>
      <c r="E397" s="62"/>
      <c r="F397" s="62"/>
      <c r="G397" s="62"/>
      <c r="H397" s="62"/>
      <c r="I397" s="62"/>
      <c r="J397" s="62"/>
      <c r="K397" s="62"/>
      <c r="L397" s="62"/>
      <c r="M397" s="63"/>
      <c r="N397" s="63"/>
      <c r="O397" s="63"/>
      <c r="P397" s="66"/>
    </row>
    <row r="398" spans="1:16" ht="18" customHeight="1">
      <c r="A398" s="67"/>
      <c r="B398" s="68"/>
      <c r="C398" s="68"/>
      <c r="D398" s="68"/>
      <c r="E398" s="68"/>
      <c r="F398" s="68"/>
      <c r="G398" s="68"/>
      <c r="H398" s="68"/>
      <c r="I398" s="68"/>
      <c r="J398" s="68"/>
      <c r="K398" s="68"/>
      <c r="L398" s="68"/>
      <c r="M398" s="69"/>
      <c r="N398" s="69"/>
      <c r="O398" s="69"/>
      <c r="P398" s="70"/>
    </row>
    <row r="399" spans="1:16" ht="18" customHeight="1">
      <c r="A399" s="71">
        <v>2</v>
      </c>
      <c r="B399" s="72"/>
      <c r="C399" s="72" t="s">
        <v>147</v>
      </c>
      <c r="D399" s="72"/>
      <c r="E399" s="72"/>
      <c r="F399" s="72"/>
      <c r="G399" s="72"/>
      <c r="H399" s="72"/>
      <c r="I399" s="72"/>
      <c r="J399" s="72"/>
      <c r="K399" s="72"/>
      <c r="L399" s="72"/>
      <c r="M399" s="64"/>
      <c r="N399" s="64"/>
      <c r="O399" s="64"/>
      <c r="P399" s="65"/>
    </row>
    <row r="400" spans="1:16" ht="18" customHeight="1">
      <c r="A400" s="61"/>
      <c r="B400" s="62"/>
      <c r="C400" s="62"/>
      <c r="D400" s="62"/>
      <c r="E400" s="62"/>
      <c r="F400" s="62"/>
      <c r="G400" s="62"/>
      <c r="H400" s="62"/>
      <c r="I400" s="62"/>
      <c r="J400" s="62"/>
      <c r="K400" s="62"/>
      <c r="L400" s="62"/>
      <c r="M400" s="63"/>
      <c r="N400" s="63"/>
      <c r="O400" s="63"/>
      <c r="P400" s="66"/>
    </row>
    <row r="401" spans="1:16" ht="18" customHeight="1">
      <c r="A401" s="67"/>
      <c r="B401" s="68"/>
      <c r="C401" s="68"/>
      <c r="D401" s="68"/>
      <c r="E401" s="68"/>
      <c r="F401" s="68"/>
      <c r="G401" s="68"/>
      <c r="H401" s="68"/>
      <c r="I401" s="68"/>
      <c r="J401" s="68"/>
      <c r="K401" s="68"/>
      <c r="L401" s="68"/>
      <c r="M401" s="69"/>
      <c r="N401" s="69"/>
      <c r="O401" s="69"/>
      <c r="P401" s="70"/>
    </row>
    <row r="402" spans="1:16" ht="18" customHeight="1">
      <c r="A402" s="73"/>
      <c r="B402" s="73"/>
      <c r="C402" s="73"/>
      <c r="D402" s="73"/>
      <c r="E402" s="73"/>
      <c r="F402" s="73"/>
      <c r="G402" s="73"/>
      <c r="H402" s="73"/>
      <c r="I402" s="73"/>
      <c r="J402" s="62"/>
      <c r="K402" s="62"/>
      <c r="L402" s="73"/>
      <c r="M402" s="63"/>
      <c r="N402" s="63"/>
      <c r="O402" s="63"/>
      <c r="P402" s="74" t="s">
        <v>142</v>
      </c>
    </row>
    <row r="403" spans="1:16" ht="18" customHeight="1">
      <c r="A403" s="73"/>
      <c r="B403" s="73"/>
      <c r="C403" s="73"/>
      <c r="D403" s="73"/>
      <c r="E403" s="73"/>
      <c r="F403" s="73"/>
      <c r="G403" s="73"/>
      <c r="H403" s="73"/>
      <c r="I403" s="73"/>
      <c r="J403" s="75"/>
      <c r="K403" s="75"/>
      <c r="L403" s="73"/>
      <c r="M403" s="63"/>
      <c r="N403" s="63"/>
      <c r="O403" s="63"/>
      <c r="P403" s="76"/>
    </row>
    <row r="404" spans="1:16" ht="18" customHeight="1">
      <c r="A404" s="73"/>
      <c r="B404" s="73"/>
      <c r="C404" s="73"/>
      <c r="D404" s="73"/>
      <c r="E404" s="73"/>
      <c r="F404" s="73"/>
      <c r="G404" s="73"/>
      <c r="H404" s="73"/>
      <c r="I404" s="73"/>
      <c r="J404" s="78"/>
      <c r="K404" s="78"/>
      <c r="L404" s="73"/>
      <c r="M404" s="63"/>
      <c r="N404" s="63"/>
      <c r="O404" s="63"/>
      <c r="P404" s="77" t="s">
        <v>143</v>
      </c>
    </row>
    <row r="405" spans="1:16" ht="18" customHeight="1">
      <c r="A405" s="73"/>
      <c r="B405" s="73"/>
      <c r="C405" s="73"/>
      <c r="D405" s="73"/>
      <c r="E405" s="73"/>
      <c r="F405" s="73"/>
      <c r="G405" s="73"/>
      <c r="H405" s="73"/>
      <c r="I405" s="73"/>
      <c r="J405" s="78"/>
      <c r="K405" s="78"/>
      <c r="L405" s="73"/>
      <c r="M405" s="63"/>
      <c r="N405" s="63"/>
      <c r="O405" s="63"/>
      <c r="P405" s="77"/>
    </row>
    <row r="406" spans="1:16" ht="1.1499999999999999" customHeight="1">
      <c r="A406" s="73"/>
      <c r="B406" s="73"/>
      <c r="C406" s="73"/>
      <c r="D406" s="73"/>
      <c r="E406" s="73"/>
      <c r="F406" s="73"/>
      <c r="G406" s="73"/>
      <c r="H406" s="73"/>
      <c r="I406" s="73"/>
      <c r="J406" s="75"/>
      <c r="K406" s="75"/>
      <c r="L406" s="73"/>
      <c r="M406" s="63"/>
      <c r="N406" s="63"/>
      <c r="O406" s="63"/>
      <c r="P406" s="64"/>
    </row>
  </sheetData>
  <sheetProtection selectLockedCells="1"/>
  <mergeCells count="52">
    <mergeCell ref="O72:P72"/>
    <mergeCell ref="O71:P71"/>
    <mergeCell ref="O70:P70"/>
    <mergeCell ref="O69:P69"/>
    <mergeCell ref="M77:N77"/>
    <mergeCell ref="O77:P77"/>
    <mergeCell ref="O76:P76"/>
    <mergeCell ref="O75:P75"/>
    <mergeCell ref="O74:P74"/>
    <mergeCell ref="O73:P73"/>
    <mergeCell ref="M76:N76"/>
    <mergeCell ref="M75:N75"/>
    <mergeCell ref="M74:N74"/>
    <mergeCell ref="M73:N73"/>
    <mergeCell ref="M72:N72"/>
    <mergeCell ref="M71:N71"/>
    <mergeCell ref="O68:P68"/>
    <mergeCell ref="O67:P67"/>
    <mergeCell ref="M70:N70"/>
    <mergeCell ref="M69:N69"/>
    <mergeCell ref="M68:N68"/>
    <mergeCell ref="M67:N67"/>
    <mergeCell ref="D70:I70"/>
    <mergeCell ref="D69:I69"/>
    <mergeCell ref="D68:I68"/>
    <mergeCell ref="D67:I67"/>
    <mergeCell ref="J76:K76"/>
    <mergeCell ref="J75:K75"/>
    <mergeCell ref="J74:K74"/>
    <mergeCell ref="J73:K73"/>
    <mergeCell ref="J72:K72"/>
    <mergeCell ref="J71:K71"/>
    <mergeCell ref="J70:K70"/>
    <mergeCell ref="J69:K69"/>
    <mergeCell ref="J68:K68"/>
    <mergeCell ref="J67:K67"/>
    <mergeCell ref="A70:C70"/>
    <mergeCell ref="A69:C69"/>
    <mergeCell ref="A68:C68"/>
    <mergeCell ref="A67:C67"/>
    <mergeCell ref="D76:I76"/>
    <mergeCell ref="D75:I75"/>
    <mergeCell ref="D74:I74"/>
    <mergeCell ref="D73:I73"/>
    <mergeCell ref="D72:I72"/>
    <mergeCell ref="D71:I71"/>
    <mergeCell ref="A76:C76"/>
    <mergeCell ref="A75:C75"/>
    <mergeCell ref="A74:C74"/>
    <mergeCell ref="A73:C73"/>
    <mergeCell ref="A72:C72"/>
    <mergeCell ref="A71:C71"/>
  </mergeCells>
  <phoneticPr fontId="39"/>
  <printOptions horizontalCentered="1" verticalCentered="1"/>
  <pageMargins left="0" right="0" top="0.35433070866141736" bottom="0.55118110236220474" header="0.31496062992125984" footer="0.31496062992125984"/>
  <pageSetup paperSize="9" fitToHeight="0" orientation="portrait" r:id="rId1"/>
  <headerFooter>
    <oddFooter>&amp;C&amp;P</oddFooter>
  </headerFooter>
  <rowBreaks count="4" manualBreakCount="4">
    <brk id="59" max="16" man="1"/>
    <brk id="181" max="16" man="1"/>
    <brk id="244" max="16383" man="1"/>
    <brk id="361" max="16383" man="1"/>
  </rowBreaks>
  <colBreaks count="1" manualBreakCount="1">
    <brk id="15" max="1048575" man="1"/>
  </col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CED08-D42B-4400-9F3E-472F7FEFC06A}">
  <sheetPr codeName="Sheet7">
    <tabColor rgb="FFFF99FF"/>
    <pageSetUpPr fitToPage="1"/>
  </sheetPr>
  <dimension ref="A1:P406"/>
  <sheetViews>
    <sheetView view="pageBreakPreview" zoomScaleNormal="100" zoomScaleSheetLayoutView="100" workbookViewId="0">
      <selection activeCell="A11" sqref="A11:XFD11"/>
    </sheetView>
  </sheetViews>
  <sheetFormatPr defaultColWidth="9" defaultRowHeight="13"/>
  <cols>
    <col min="1" max="1" width="4.453125" customWidth="1"/>
    <col min="2" max="2" width="3.453125" customWidth="1"/>
    <col min="3" max="3" width="10.08984375" customWidth="1"/>
    <col min="4" max="4" width="5.08984375" customWidth="1"/>
    <col min="5" max="5" width="4.90625" customWidth="1"/>
    <col min="6" max="7" width="8.453125" customWidth="1"/>
    <col min="8" max="8" width="1.7265625" customWidth="1"/>
    <col min="9" max="9" width="3.453125" customWidth="1"/>
    <col min="10" max="10" width="7.453125" customWidth="1"/>
    <col min="11" max="11" width="1.90625" customWidth="1"/>
    <col min="12" max="12" width="6.26953125" customWidth="1"/>
    <col min="13" max="13" width="8.26953125" customWidth="1"/>
    <col min="14" max="14" width="2.453125" customWidth="1"/>
    <col min="15" max="15" width="3.08984375" customWidth="1"/>
    <col min="16" max="16" width="8.453125" customWidth="1"/>
    <col min="17" max="17" width="2.453125" customWidth="1"/>
  </cols>
  <sheetData>
    <row r="1" spans="1:16" ht="10.5" customHeight="1">
      <c r="P1" s="98" t="s">
        <v>337</v>
      </c>
    </row>
    <row r="2" spans="1:16" ht="21.75" customHeight="1">
      <c r="A2" s="1" t="s">
        <v>107</v>
      </c>
      <c r="B2" s="1"/>
      <c r="C2" s="1"/>
      <c r="D2" s="1"/>
      <c r="E2" s="1"/>
      <c r="F2" s="2"/>
      <c r="G2" s="2"/>
      <c r="H2" s="2"/>
      <c r="I2" s="2"/>
      <c r="J2" s="2"/>
      <c r="K2" s="2"/>
      <c r="L2" s="2"/>
      <c r="M2" s="2"/>
      <c r="N2" s="2"/>
      <c r="O2" s="2"/>
      <c r="P2" s="2"/>
    </row>
    <row r="3" spans="1:16" ht="10.5" customHeight="1">
      <c r="A3" s="3"/>
      <c r="B3" s="3"/>
      <c r="C3" s="3"/>
      <c r="D3" s="3"/>
      <c r="E3" s="3"/>
    </row>
    <row r="4" spans="1:16" ht="13.5" customHeight="1">
      <c r="A4" s="4" t="s">
        <v>0</v>
      </c>
      <c r="B4" s="4"/>
      <c r="C4" s="4"/>
      <c r="D4" s="4"/>
      <c r="E4" s="4"/>
    </row>
    <row r="5" spans="1:16" ht="13.5" customHeight="1">
      <c r="A5" s="4" t="s">
        <v>265</v>
      </c>
      <c r="B5" s="4"/>
      <c r="C5" s="4"/>
      <c r="D5" s="4"/>
      <c r="E5" s="4"/>
    </row>
    <row r="6" spans="1:16" ht="13.5" customHeight="1">
      <c r="A6" s="5" t="s">
        <v>266</v>
      </c>
      <c r="B6" s="5"/>
      <c r="C6" s="5"/>
      <c r="D6" s="5"/>
      <c r="E6" s="5"/>
    </row>
    <row r="7" spans="1:16" ht="13.5" customHeight="1">
      <c r="A7" s="5" t="s">
        <v>267</v>
      </c>
      <c r="B7" s="5"/>
      <c r="C7" s="5"/>
      <c r="D7" s="5"/>
      <c r="E7" s="5"/>
    </row>
    <row r="8" spans="1:16" ht="13.5" customHeight="1">
      <c r="A8" s="5"/>
      <c r="B8" s="5"/>
      <c r="C8" s="5"/>
      <c r="D8" s="5"/>
      <c r="E8" s="5"/>
    </row>
    <row r="9" spans="1:16" ht="13.5" customHeight="1">
      <c r="A9" s="4"/>
      <c r="B9" s="4"/>
      <c r="C9" s="4"/>
      <c r="D9" s="4"/>
      <c r="E9" s="4"/>
    </row>
    <row r="10" spans="1:16" ht="13.5" customHeight="1">
      <c r="A10" s="4" t="s">
        <v>1</v>
      </c>
      <c r="B10" s="4"/>
      <c r="C10" s="4"/>
      <c r="D10" s="4"/>
      <c r="E10" s="4"/>
    </row>
    <row r="11" spans="1:16" ht="13.5" customHeight="1">
      <c r="A11" s="4" t="s">
        <v>369</v>
      </c>
      <c r="B11" s="4"/>
      <c r="C11" s="4"/>
      <c r="D11" s="4"/>
      <c r="E11" s="4"/>
    </row>
    <row r="12" spans="1:16" ht="13.5" customHeight="1">
      <c r="A12" s="4" t="s">
        <v>153</v>
      </c>
      <c r="B12" s="4"/>
      <c r="C12" s="4"/>
      <c r="D12" s="4"/>
      <c r="E12" s="4"/>
    </row>
    <row r="13" spans="1:16" ht="13.5" customHeight="1">
      <c r="A13" s="6" t="s">
        <v>154</v>
      </c>
      <c r="B13" s="6"/>
      <c r="C13" s="6"/>
      <c r="D13" s="6"/>
      <c r="E13" s="6"/>
    </row>
    <row r="14" spans="1:16" ht="13.5" customHeight="1">
      <c r="A14" s="4" t="s">
        <v>155</v>
      </c>
      <c r="B14" s="4"/>
      <c r="C14" s="4"/>
      <c r="D14" s="4"/>
      <c r="E14" s="4"/>
    </row>
    <row r="15" spans="1:16" ht="13.5" customHeight="1">
      <c r="A15" s="4"/>
      <c r="B15" s="4"/>
      <c r="C15" s="4"/>
      <c r="D15" s="4"/>
      <c r="E15" s="4"/>
    </row>
    <row r="16" spans="1:16" ht="13.5" customHeight="1">
      <c r="A16" s="4"/>
      <c r="B16" s="4"/>
      <c r="C16" s="4"/>
      <c r="D16" s="4"/>
      <c r="E16" s="4"/>
    </row>
    <row r="17" spans="1:5" ht="13.5" customHeight="1">
      <c r="A17" s="4" t="s">
        <v>2</v>
      </c>
      <c r="B17" s="4"/>
      <c r="C17" s="4"/>
      <c r="D17" s="4"/>
      <c r="E17" s="4"/>
    </row>
    <row r="18" spans="1:5" ht="13.5" customHeight="1">
      <c r="A18" s="4" t="s">
        <v>268</v>
      </c>
      <c r="B18" s="4"/>
      <c r="C18" s="4"/>
      <c r="D18" s="4"/>
      <c r="E18" s="4"/>
    </row>
    <row r="19" spans="1:5" ht="13.5" customHeight="1">
      <c r="A19" s="4" t="s">
        <v>251</v>
      </c>
      <c r="B19" s="4"/>
      <c r="C19" s="4"/>
      <c r="D19" s="4"/>
      <c r="E19" s="4"/>
    </row>
    <row r="20" spans="1:5" ht="13.5" customHeight="1">
      <c r="A20" s="4" t="s">
        <v>252</v>
      </c>
      <c r="B20" s="4"/>
      <c r="C20" s="4"/>
      <c r="D20" s="4"/>
      <c r="E20" s="4"/>
    </row>
    <row r="21" spans="1:5" ht="13.5" customHeight="1">
      <c r="A21" s="4"/>
      <c r="B21" s="4"/>
      <c r="C21" s="4"/>
      <c r="D21" s="4"/>
      <c r="E21" s="4"/>
    </row>
    <row r="22" spans="1:5" ht="13.5" customHeight="1">
      <c r="A22" s="4"/>
      <c r="B22" s="4"/>
      <c r="C22" s="4"/>
      <c r="D22" s="4"/>
      <c r="E22" s="4"/>
    </row>
    <row r="23" spans="1:5" ht="13.5" customHeight="1">
      <c r="A23" s="4" t="s">
        <v>3</v>
      </c>
      <c r="B23" s="4"/>
      <c r="C23" s="4"/>
      <c r="D23" s="4"/>
      <c r="E23" s="4"/>
    </row>
    <row r="24" spans="1:5" ht="13.5" customHeight="1">
      <c r="A24" s="6" t="s">
        <v>156</v>
      </c>
      <c r="B24" s="6"/>
      <c r="C24" s="6"/>
      <c r="D24" s="6"/>
      <c r="E24" s="6"/>
    </row>
    <row r="25" spans="1:5" ht="13.5" customHeight="1">
      <c r="A25" s="6" t="s">
        <v>157</v>
      </c>
      <c r="B25" s="6"/>
      <c r="C25" s="6"/>
      <c r="D25" s="6"/>
      <c r="E25" s="6"/>
    </row>
    <row r="26" spans="1:5" ht="13.5" customHeight="1">
      <c r="A26" s="6" t="s">
        <v>158</v>
      </c>
      <c r="B26" s="6"/>
      <c r="C26" s="6"/>
      <c r="D26" s="6"/>
      <c r="E26" s="6"/>
    </row>
    <row r="27" spans="1:5" ht="13.5" customHeight="1">
      <c r="A27" s="4" t="s">
        <v>108</v>
      </c>
      <c r="B27" s="4"/>
      <c r="C27" s="4"/>
      <c r="D27" s="4"/>
      <c r="E27" s="4"/>
    </row>
    <row r="28" spans="1:5" ht="13.5" customHeight="1">
      <c r="A28" s="4" t="s">
        <v>159</v>
      </c>
      <c r="B28" s="4"/>
      <c r="C28" s="4"/>
      <c r="D28" s="4"/>
      <c r="E28" s="4"/>
    </row>
    <row r="29" spans="1:5" ht="13.5" customHeight="1">
      <c r="A29" s="4" t="s">
        <v>160</v>
      </c>
      <c r="B29" s="4"/>
      <c r="C29" s="4"/>
      <c r="D29" s="4"/>
      <c r="E29" s="4"/>
    </row>
    <row r="30" spans="1:5" ht="13.5" customHeight="1">
      <c r="A30" s="4" t="s">
        <v>161</v>
      </c>
      <c r="B30" s="4"/>
      <c r="C30" s="4"/>
      <c r="D30" s="4"/>
      <c r="E30" s="4"/>
    </row>
    <row r="31" spans="1:5" ht="13.5" customHeight="1">
      <c r="A31" s="4" t="s">
        <v>162</v>
      </c>
      <c r="B31" s="4"/>
      <c r="C31" s="4"/>
      <c r="D31" s="4"/>
      <c r="E31" s="4"/>
    </row>
    <row r="32" spans="1:5" ht="13.5" customHeight="1">
      <c r="A32" s="4" t="s">
        <v>109</v>
      </c>
      <c r="B32" s="4"/>
      <c r="C32" s="4"/>
      <c r="D32" s="4"/>
      <c r="E32" s="4"/>
    </row>
    <row r="33" spans="1:5" ht="13.5" customHeight="1">
      <c r="A33" s="4"/>
      <c r="B33" s="4"/>
      <c r="C33" s="4"/>
      <c r="D33" s="4"/>
      <c r="E33" s="4"/>
    </row>
    <row r="34" spans="1:5" ht="13.5" customHeight="1">
      <c r="A34" s="4"/>
      <c r="B34" s="4"/>
      <c r="C34" s="4"/>
      <c r="D34" s="4"/>
      <c r="E34" s="4"/>
    </row>
    <row r="35" spans="1:5" ht="13.5" customHeight="1">
      <c r="A35" s="4" t="s">
        <v>4</v>
      </c>
      <c r="B35" s="4"/>
      <c r="C35" s="4"/>
      <c r="D35" s="4"/>
      <c r="E35" s="4"/>
    </row>
    <row r="36" spans="1:5" ht="13.5" customHeight="1">
      <c r="A36" s="4" t="s">
        <v>269</v>
      </c>
      <c r="B36" s="4"/>
      <c r="C36" s="4"/>
      <c r="D36" s="4"/>
      <c r="E36" s="4"/>
    </row>
    <row r="37" spans="1:5" ht="13.5" customHeight="1">
      <c r="A37" s="4" t="s">
        <v>163</v>
      </c>
      <c r="B37" s="4"/>
      <c r="C37" s="4"/>
      <c r="D37" s="4"/>
      <c r="E37" s="4"/>
    </row>
    <row r="38" spans="1:5" ht="13.5" customHeight="1">
      <c r="A38" s="4" t="s">
        <v>109</v>
      </c>
      <c r="B38" s="4"/>
      <c r="C38" s="4"/>
      <c r="D38" s="4"/>
      <c r="E38" s="4"/>
    </row>
    <row r="39" spans="1:5" ht="13.5" customHeight="1">
      <c r="A39" s="4" t="s">
        <v>166</v>
      </c>
      <c r="B39" s="4"/>
      <c r="C39" s="4"/>
      <c r="D39" s="4"/>
      <c r="E39" s="4"/>
    </row>
    <row r="40" spans="1:5" ht="13.5" customHeight="1">
      <c r="A40" s="4" t="s">
        <v>109</v>
      </c>
      <c r="B40" s="4"/>
      <c r="C40" s="4"/>
      <c r="D40" s="4"/>
      <c r="E40" s="4"/>
    </row>
    <row r="41" spans="1:5" ht="13.5" customHeight="1">
      <c r="A41" s="4" t="s">
        <v>167</v>
      </c>
      <c r="B41" s="4"/>
      <c r="C41" s="4"/>
      <c r="D41" s="4"/>
      <c r="E41" s="4"/>
    </row>
    <row r="42" spans="1:5" ht="13.5" customHeight="1">
      <c r="A42" s="4" t="s">
        <v>168</v>
      </c>
      <c r="B42" s="4"/>
      <c r="C42" s="4"/>
      <c r="D42" s="4"/>
      <c r="E42" s="4"/>
    </row>
    <row r="43" spans="1:5" ht="13.5" customHeight="1">
      <c r="A43" s="4" t="s">
        <v>169</v>
      </c>
      <c r="B43" s="4"/>
      <c r="C43" s="4"/>
      <c r="D43" s="4"/>
      <c r="E43" s="4"/>
    </row>
    <row r="44" spans="1:5" ht="13.5" customHeight="1">
      <c r="A44" s="4" t="s">
        <v>170</v>
      </c>
      <c r="B44" s="4"/>
      <c r="C44" s="4"/>
      <c r="D44" s="4"/>
      <c r="E44" s="4"/>
    </row>
    <row r="45" spans="1:5" ht="13.5" customHeight="1">
      <c r="A45" s="4"/>
      <c r="B45" s="4"/>
      <c r="C45" s="4"/>
      <c r="D45" s="4"/>
      <c r="E45" s="4"/>
    </row>
    <row r="46" spans="1:5" ht="13.5" customHeight="1">
      <c r="A46" s="4"/>
      <c r="B46" s="4"/>
      <c r="C46" s="4"/>
      <c r="D46" s="4"/>
      <c r="E46" s="4"/>
    </row>
    <row r="47" spans="1:5" ht="13.5" customHeight="1">
      <c r="A47" s="4" t="s">
        <v>5</v>
      </c>
      <c r="B47" s="4"/>
      <c r="C47" s="4"/>
      <c r="D47" s="4"/>
      <c r="E47" s="4"/>
    </row>
    <row r="48" spans="1:5" ht="13.5" customHeight="1">
      <c r="A48" s="4" t="s">
        <v>270</v>
      </c>
      <c r="B48" s="4"/>
      <c r="C48" s="4"/>
      <c r="D48" s="4"/>
      <c r="E48" s="4"/>
    </row>
    <row r="49" spans="1:5" ht="13.5" customHeight="1">
      <c r="A49" s="4" t="s">
        <v>271</v>
      </c>
      <c r="B49" s="4"/>
      <c r="C49" s="4"/>
      <c r="D49" s="4"/>
      <c r="E49" s="4"/>
    </row>
    <row r="50" spans="1:5" ht="13.5" customHeight="1">
      <c r="A50" s="4" t="s">
        <v>164</v>
      </c>
      <c r="B50" s="4"/>
      <c r="C50" s="4"/>
      <c r="D50" s="4"/>
      <c r="E50" s="4"/>
    </row>
    <row r="51" spans="1:5" ht="13.5" customHeight="1">
      <c r="A51" s="4" t="s">
        <v>110</v>
      </c>
      <c r="B51" s="4"/>
      <c r="C51" s="4"/>
      <c r="D51" s="4"/>
      <c r="E51" s="4"/>
    </row>
    <row r="52" spans="1:5" ht="13.5" customHeight="1">
      <c r="A52" s="4"/>
      <c r="B52" s="4"/>
      <c r="C52" s="4"/>
      <c r="D52" s="4"/>
      <c r="E52" s="4"/>
    </row>
    <row r="53" spans="1:5" ht="13.5" customHeight="1">
      <c r="A53" s="4"/>
      <c r="B53" s="4"/>
      <c r="C53" s="4"/>
      <c r="D53" s="4"/>
      <c r="E53" s="4"/>
    </row>
    <row r="54" spans="1:5" ht="13.5" customHeight="1">
      <c r="A54" s="4" t="s">
        <v>6</v>
      </c>
      <c r="B54" s="4"/>
      <c r="C54" s="4"/>
      <c r="D54" s="4"/>
      <c r="E54" s="4"/>
    </row>
    <row r="55" spans="1:5" ht="13.5" customHeight="1">
      <c r="A55" s="4" t="s">
        <v>330</v>
      </c>
      <c r="B55" s="4"/>
      <c r="C55" s="4"/>
      <c r="D55" s="4"/>
      <c r="E55" s="4"/>
    </row>
    <row r="56" spans="1:5" ht="13.5" customHeight="1">
      <c r="A56" s="4" t="s">
        <v>336</v>
      </c>
      <c r="B56" s="4"/>
      <c r="C56" s="4"/>
      <c r="D56" s="4"/>
      <c r="E56" s="4"/>
    </row>
    <row r="57" spans="1:5" ht="13.5" customHeight="1">
      <c r="A57" s="4" t="s">
        <v>111</v>
      </c>
      <c r="B57" s="4"/>
      <c r="C57" s="4"/>
      <c r="D57" s="4"/>
      <c r="E57" s="4"/>
    </row>
    <row r="58" spans="1:5" ht="13.5" customHeight="1">
      <c r="A58" s="4" t="s">
        <v>338</v>
      </c>
      <c r="B58" s="4"/>
      <c r="C58" s="4"/>
      <c r="D58" s="4"/>
      <c r="E58" s="4"/>
    </row>
    <row r="59" spans="1:5" ht="13.5" customHeight="1">
      <c r="A59" s="4" t="s">
        <v>280</v>
      </c>
      <c r="B59" s="4"/>
      <c r="C59" s="4"/>
      <c r="D59" s="4"/>
      <c r="E59" s="4"/>
    </row>
    <row r="60" spans="1:5" ht="13.5" customHeight="1">
      <c r="A60" s="4" t="s">
        <v>281</v>
      </c>
      <c r="B60" s="4"/>
      <c r="C60" s="4"/>
      <c r="D60" s="4"/>
      <c r="E60" s="4"/>
    </row>
    <row r="61" spans="1:5" ht="13.5" customHeight="1">
      <c r="A61" s="4" t="s">
        <v>165</v>
      </c>
      <c r="B61" s="4"/>
      <c r="C61" s="4"/>
      <c r="D61" s="4"/>
      <c r="E61" s="4"/>
    </row>
    <row r="62" spans="1:5" ht="13.5" customHeight="1">
      <c r="A62" s="4" t="s">
        <v>335</v>
      </c>
      <c r="B62" s="4"/>
      <c r="C62" s="4"/>
      <c r="D62" s="4"/>
      <c r="E62" s="4"/>
    </row>
    <row r="63" spans="1:5" ht="13.5" customHeight="1">
      <c r="A63" s="4" t="s">
        <v>272</v>
      </c>
      <c r="B63" s="4"/>
      <c r="C63" s="4"/>
      <c r="D63" s="4"/>
      <c r="E63" s="4"/>
    </row>
    <row r="64" spans="1:5">
      <c r="A64" s="104" t="s">
        <v>329</v>
      </c>
      <c r="B64" s="4"/>
      <c r="C64" s="4"/>
      <c r="D64" s="4"/>
      <c r="E64" s="4"/>
    </row>
    <row r="65" spans="1:16">
      <c r="A65" s="4" t="s">
        <v>334</v>
      </c>
      <c r="B65" s="4"/>
      <c r="C65" s="4"/>
      <c r="D65" s="4"/>
      <c r="E65" s="4"/>
    </row>
    <row r="66" spans="1:16" ht="16.75" customHeight="1">
      <c r="A66" s="10" t="s">
        <v>7</v>
      </c>
      <c r="B66" s="11"/>
      <c r="C66" s="11"/>
      <c r="D66" s="28" t="s">
        <v>138</v>
      </c>
      <c r="E66" s="11"/>
      <c r="F66" s="11"/>
      <c r="G66" s="11"/>
      <c r="H66" s="11"/>
      <c r="I66" s="29"/>
      <c r="J66" s="92" t="s">
        <v>8</v>
      </c>
      <c r="K66" s="93"/>
      <c r="L66" s="94" t="s">
        <v>9</v>
      </c>
      <c r="M66" s="92" t="s">
        <v>10</v>
      </c>
      <c r="N66" s="93"/>
      <c r="O66" s="109" t="s">
        <v>11</v>
      </c>
      <c r="P66" s="110"/>
    </row>
    <row r="67" spans="1:16" s="97" customFormat="1" ht="16.75" customHeight="1">
      <c r="A67" s="161" t="s">
        <v>347</v>
      </c>
      <c r="B67" s="162"/>
      <c r="C67" s="163"/>
      <c r="D67" s="164"/>
      <c r="E67" s="165"/>
      <c r="F67" s="165"/>
      <c r="G67" s="165"/>
      <c r="H67" s="165"/>
      <c r="I67" s="166"/>
      <c r="J67" s="158"/>
      <c r="K67" s="159"/>
      <c r="L67" s="111"/>
      <c r="M67" s="158"/>
      <c r="N67" s="159"/>
      <c r="O67" s="158"/>
      <c r="P67" s="160"/>
    </row>
    <row r="68" spans="1:16" s="97" customFormat="1" ht="16.75" customHeight="1">
      <c r="A68" s="161" t="s">
        <v>348</v>
      </c>
      <c r="B68" s="162"/>
      <c r="C68" s="163"/>
      <c r="D68" s="164"/>
      <c r="E68" s="165"/>
      <c r="F68" s="165"/>
      <c r="G68" s="165"/>
      <c r="H68" s="165"/>
      <c r="I68" s="166"/>
      <c r="J68" s="158"/>
      <c r="K68" s="159"/>
      <c r="L68" s="111"/>
      <c r="M68" s="158"/>
      <c r="N68" s="159"/>
      <c r="O68" s="158"/>
      <c r="P68" s="160"/>
    </row>
    <row r="69" spans="1:16" s="97" customFormat="1" ht="16.75" customHeight="1">
      <c r="A69" s="161" t="s">
        <v>348</v>
      </c>
      <c r="B69" s="162"/>
      <c r="C69" s="163"/>
      <c r="D69" s="164"/>
      <c r="E69" s="165"/>
      <c r="F69" s="165"/>
      <c r="G69" s="165"/>
      <c r="H69" s="165"/>
      <c r="I69" s="166"/>
      <c r="J69" s="158"/>
      <c r="K69" s="159"/>
      <c r="L69" s="111"/>
      <c r="M69" s="158"/>
      <c r="N69" s="159"/>
      <c r="O69" s="158"/>
      <c r="P69" s="160"/>
    </row>
    <row r="70" spans="1:16" s="97" customFormat="1" ht="16.75" customHeight="1">
      <c r="A70" s="161" t="s">
        <v>348</v>
      </c>
      <c r="B70" s="162"/>
      <c r="C70" s="163"/>
      <c r="D70" s="164"/>
      <c r="E70" s="165"/>
      <c r="F70" s="165"/>
      <c r="G70" s="165"/>
      <c r="H70" s="165"/>
      <c r="I70" s="166"/>
      <c r="J70" s="158"/>
      <c r="K70" s="159"/>
      <c r="L70" s="111"/>
      <c r="M70" s="158"/>
      <c r="N70" s="159"/>
      <c r="O70" s="158"/>
      <c r="P70" s="160"/>
    </row>
    <row r="71" spans="1:16" s="97" customFormat="1" ht="16.75" customHeight="1">
      <c r="A71" s="161"/>
      <c r="B71" s="162"/>
      <c r="C71" s="163"/>
      <c r="D71" s="164"/>
      <c r="E71" s="165"/>
      <c r="F71" s="165"/>
      <c r="G71" s="165"/>
      <c r="H71" s="165"/>
      <c r="I71" s="166"/>
      <c r="J71" s="158"/>
      <c r="K71" s="159"/>
      <c r="L71" s="111"/>
      <c r="M71" s="158"/>
      <c r="N71" s="159"/>
      <c r="O71" s="158"/>
      <c r="P71" s="160"/>
    </row>
    <row r="72" spans="1:16" s="97" customFormat="1" ht="16.75" customHeight="1">
      <c r="A72" s="161"/>
      <c r="B72" s="162"/>
      <c r="C72" s="163"/>
      <c r="D72" s="164"/>
      <c r="E72" s="165"/>
      <c r="F72" s="165"/>
      <c r="G72" s="165"/>
      <c r="H72" s="165"/>
      <c r="I72" s="166"/>
      <c r="J72" s="158"/>
      <c r="K72" s="159"/>
      <c r="L72" s="111"/>
      <c r="M72" s="158"/>
      <c r="N72" s="159"/>
      <c r="O72" s="158"/>
      <c r="P72" s="160"/>
    </row>
    <row r="73" spans="1:16" s="97" customFormat="1" ht="16.75" customHeight="1">
      <c r="A73" s="161"/>
      <c r="B73" s="162"/>
      <c r="C73" s="163"/>
      <c r="D73" s="164"/>
      <c r="E73" s="165"/>
      <c r="F73" s="165"/>
      <c r="G73" s="165"/>
      <c r="H73" s="165"/>
      <c r="I73" s="166"/>
      <c r="J73" s="158"/>
      <c r="K73" s="159"/>
      <c r="L73" s="111"/>
      <c r="M73" s="158"/>
      <c r="N73" s="159"/>
      <c r="O73" s="158"/>
      <c r="P73" s="160"/>
    </row>
    <row r="74" spans="1:16" s="97" customFormat="1" ht="16.75" customHeight="1">
      <c r="A74" s="161"/>
      <c r="B74" s="162"/>
      <c r="C74" s="163"/>
      <c r="D74" s="164"/>
      <c r="E74" s="165"/>
      <c r="F74" s="165"/>
      <c r="G74" s="165"/>
      <c r="H74" s="165"/>
      <c r="I74" s="166"/>
      <c r="J74" s="158"/>
      <c r="K74" s="159"/>
      <c r="L74" s="111"/>
      <c r="M74" s="158"/>
      <c r="N74" s="159"/>
      <c r="O74" s="158"/>
      <c r="P74" s="160"/>
    </row>
    <row r="75" spans="1:16" s="97" customFormat="1" ht="16.75" customHeight="1">
      <c r="A75" s="161"/>
      <c r="B75" s="162"/>
      <c r="C75" s="163"/>
      <c r="D75" s="164"/>
      <c r="E75" s="165"/>
      <c r="F75" s="165"/>
      <c r="G75" s="165"/>
      <c r="H75" s="165"/>
      <c r="I75" s="166"/>
      <c r="J75" s="158"/>
      <c r="K75" s="159"/>
      <c r="L75" s="111"/>
      <c r="M75" s="158"/>
      <c r="N75" s="159"/>
      <c r="O75" s="158"/>
      <c r="P75" s="160"/>
    </row>
    <row r="76" spans="1:16" s="97" customFormat="1" ht="16.75" customHeight="1" thickBot="1">
      <c r="A76" s="184"/>
      <c r="B76" s="185"/>
      <c r="C76" s="186"/>
      <c r="D76" s="181"/>
      <c r="E76" s="182"/>
      <c r="F76" s="182"/>
      <c r="G76" s="182"/>
      <c r="H76" s="182"/>
      <c r="I76" s="183"/>
      <c r="J76" s="190"/>
      <c r="K76" s="191"/>
      <c r="L76" s="112"/>
      <c r="M76" s="190"/>
      <c r="N76" s="191"/>
      <c r="O76" s="190"/>
      <c r="P76" s="192"/>
    </row>
    <row r="77" spans="1:16" ht="16.75" customHeight="1" thickTop="1">
      <c r="A77" s="95" t="s">
        <v>14</v>
      </c>
      <c r="B77" s="96"/>
      <c r="C77" s="96"/>
      <c r="D77" s="96"/>
      <c r="E77" s="96"/>
      <c r="F77" s="96"/>
      <c r="G77" s="96"/>
      <c r="H77" s="96"/>
      <c r="I77" s="96"/>
      <c r="J77" s="96"/>
      <c r="K77" s="96"/>
      <c r="L77" s="96"/>
      <c r="M77" s="147"/>
      <c r="N77" s="148"/>
      <c r="O77" s="147"/>
      <c r="P77" s="149"/>
    </row>
    <row r="78" spans="1:16" ht="13.5" customHeight="1">
      <c r="A78" s="4" t="s">
        <v>176</v>
      </c>
      <c r="B78" s="4"/>
      <c r="C78" s="4"/>
      <c r="D78" s="4"/>
      <c r="E78" s="4"/>
    </row>
    <row r="79" spans="1:16">
      <c r="A79" s="4" t="s">
        <v>177</v>
      </c>
      <c r="B79" s="4"/>
      <c r="C79" s="4"/>
      <c r="D79" s="4"/>
      <c r="E79" s="4"/>
    </row>
    <row r="80" spans="1:16">
      <c r="A80" s="4" t="s">
        <v>171</v>
      </c>
      <c r="B80" s="4"/>
      <c r="C80" s="4"/>
      <c r="D80" s="4"/>
      <c r="E80" s="4"/>
    </row>
    <row r="81" spans="1:5">
      <c r="A81" s="4" t="s">
        <v>344</v>
      </c>
      <c r="B81" s="4"/>
      <c r="C81" s="4"/>
      <c r="D81" s="4"/>
      <c r="E81" s="4"/>
    </row>
    <row r="82" spans="1:5">
      <c r="A82" s="4" t="s">
        <v>345</v>
      </c>
      <c r="B82" s="4"/>
      <c r="C82" s="4"/>
      <c r="D82" s="4"/>
      <c r="E82" s="4"/>
    </row>
    <row r="83" spans="1:5">
      <c r="A83" s="3"/>
      <c r="B83" s="3"/>
      <c r="C83" s="3"/>
      <c r="D83" s="3"/>
      <c r="E83" s="3"/>
    </row>
    <row r="84" spans="1:5">
      <c r="A84" s="3"/>
      <c r="B84" s="3"/>
      <c r="C84" s="3"/>
      <c r="D84" s="3"/>
      <c r="E84" s="3"/>
    </row>
    <row r="85" spans="1:5">
      <c r="A85" s="4" t="s">
        <v>15</v>
      </c>
      <c r="B85" s="4"/>
      <c r="C85" s="4"/>
      <c r="D85" s="4"/>
      <c r="E85" s="4"/>
    </row>
    <row r="86" spans="1:5">
      <c r="A86" s="4" t="s">
        <v>178</v>
      </c>
      <c r="B86" s="4"/>
      <c r="C86" s="4"/>
      <c r="D86" s="4"/>
      <c r="E86" s="4"/>
    </row>
    <row r="87" spans="1:5">
      <c r="A87" s="4" t="s">
        <v>179</v>
      </c>
      <c r="B87" s="4"/>
      <c r="C87" s="4"/>
      <c r="D87" s="4"/>
      <c r="E87" s="4"/>
    </row>
    <row r="88" spans="1:5">
      <c r="A88" s="4" t="s">
        <v>172</v>
      </c>
      <c r="B88" s="4"/>
      <c r="C88" s="4"/>
      <c r="D88" s="4"/>
      <c r="E88" s="4"/>
    </row>
    <row r="89" spans="1:5">
      <c r="A89" s="4" t="s">
        <v>173</v>
      </c>
      <c r="B89" s="4"/>
      <c r="C89" s="4"/>
      <c r="D89" s="4"/>
      <c r="E89" s="4"/>
    </row>
    <row r="90" spans="1:5">
      <c r="A90" s="4" t="s">
        <v>16</v>
      </c>
      <c r="B90" s="4"/>
      <c r="C90" s="4"/>
      <c r="D90" s="4"/>
      <c r="E90" s="4"/>
    </row>
    <row r="91" spans="1:5">
      <c r="A91" s="3"/>
      <c r="B91" s="3"/>
      <c r="C91" s="3"/>
      <c r="D91" s="3"/>
      <c r="E91" s="3"/>
    </row>
    <row r="92" spans="1:5">
      <c r="A92" s="3"/>
      <c r="B92" s="3"/>
      <c r="C92" s="3"/>
      <c r="D92" s="3"/>
      <c r="E92" s="3"/>
    </row>
    <row r="93" spans="1:5">
      <c r="A93" s="4" t="s">
        <v>17</v>
      </c>
      <c r="B93" s="4"/>
      <c r="C93" s="4"/>
      <c r="D93" s="4"/>
      <c r="E93" s="4"/>
    </row>
    <row r="94" spans="1:5">
      <c r="A94" s="4" t="s">
        <v>180</v>
      </c>
      <c r="B94" s="4"/>
      <c r="C94" s="4"/>
      <c r="D94" s="4"/>
      <c r="E94" s="4"/>
    </row>
    <row r="95" spans="1:5">
      <c r="A95" s="4" t="s">
        <v>181</v>
      </c>
      <c r="B95" s="4"/>
      <c r="C95" s="4"/>
      <c r="D95" s="4"/>
      <c r="E95" s="4"/>
    </row>
    <row r="96" spans="1:5">
      <c r="A96" s="4" t="s">
        <v>182</v>
      </c>
      <c r="B96" s="4"/>
      <c r="C96" s="4"/>
      <c r="D96" s="4"/>
      <c r="E96" s="4"/>
    </row>
    <row r="97" spans="1:5">
      <c r="A97" s="4" t="s">
        <v>109</v>
      </c>
      <c r="B97" s="4"/>
      <c r="C97" s="4"/>
      <c r="D97" s="4"/>
      <c r="E97" s="4"/>
    </row>
    <row r="98" spans="1:5">
      <c r="A98" s="4" t="s">
        <v>183</v>
      </c>
      <c r="B98" s="4"/>
      <c r="C98" s="4"/>
      <c r="D98" s="4"/>
      <c r="E98" s="4"/>
    </row>
    <row r="99" spans="1:5">
      <c r="A99" s="4" t="s">
        <v>184</v>
      </c>
      <c r="B99" s="4"/>
      <c r="C99" s="4"/>
      <c r="D99" s="4"/>
      <c r="E99" s="4"/>
    </row>
    <row r="100" spans="1:5">
      <c r="A100" s="4"/>
      <c r="B100" s="4"/>
      <c r="C100" s="4"/>
      <c r="D100" s="4"/>
      <c r="E100" s="4"/>
    </row>
    <row r="101" spans="1:5">
      <c r="A101" s="4"/>
      <c r="B101" s="4"/>
      <c r="C101" s="4"/>
      <c r="D101" s="4"/>
      <c r="E101" s="4"/>
    </row>
    <row r="102" spans="1:5">
      <c r="A102" s="4" t="s">
        <v>18</v>
      </c>
      <c r="B102" s="4"/>
      <c r="C102" s="4"/>
      <c r="D102" s="4"/>
      <c r="E102" s="4"/>
    </row>
    <row r="103" spans="1:5">
      <c r="A103" s="4" t="s">
        <v>253</v>
      </c>
      <c r="B103" s="4"/>
      <c r="C103" s="4"/>
      <c r="D103" s="4"/>
      <c r="E103" s="4"/>
    </row>
    <row r="104" spans="1:5">
      <c r="A104" s="4" t="s">
        <v>254</v>
      </c>
      <c r="B104" s="4"/>
      <c r="C104" s="4"/>
      <c r="D104" s="4"/>
      <c r="E104" s="4"/>
    </row>
    <row r="105" spans="1:5">
      <c r="A105" s="4" t="s">
        <v>214</v>
      </c>
      <c r="B105" s="4"/>
      <c r="C105" s="4"/>
      <c r="D105" s="4"/>
      <c r="E105" s="4"/>
    </row>
    <row r="106" spans="1:5">
      <c r="A106" s="4" t="s">
        <v>215</v>
      </c>
      <c r="B106" s="4"/>
      <c r="C106" s="4"/>
      <c r="D106" s="4"/>
      <c r="E106" s="4"/>
    </row>
    <row r="107" spans="1:5">
      <c r="A107" s="4" t="s">
        <v>216</v>
      </c>
      <c r="B107" s="4"/>
      <c r="C107" s="4"/>
      <c r="D107" s="4"/>
      <c r="E107" s="4"/>
    </row>
    <row r="108" spans="1:5">
      <c r="A108" s="4" t="s">
        <v>19</v>
      </c>
      <c r="B108" s="4"/>
      <c r="C108" s="4"/>
      <c r="D108" s="4"/>
      <c r="E108" s="4"/>
    </row>
    <row r="109" spans="1:5">
      <c r="A109" s="4" t="s">
        <v>112</v>
      </c>
      <c r="B109" s="4"/>
      <c r="C109" s="4"/>
      <c r="D109" s="4"/>
      <c r="E109" s="4"/>
    </row>
    <row r="110" spans="1:5">
      <c r="A110" s="4" t="s">
        <v>113</v>
      </c>
      <c r="B110" s="4"/>
      <c r="C110" s="4"/>
      <c r="D110" s="4"/>
      <c r="E110" s="4"/>
    </row>
    <row r="111" spans="1:5">
      <c r="A111" s="4" t="s">
        <v>114</v>
      </c>
      <c r="B111" s="4"/>
      <c r="C111" s="4"/>
      <c r="D111" s="4"/>
      <c r="E111" s="4"/>
    </row>
    <row r="112" spans="1:5">
      <c r="A112" s="4" t="s">
        <v>115</v>
      </c>
      <c r="B112" s="4"/>
      <c r="C112" s="4"/>
      <c r="D112" s="4"/>
      <c r="E112" s="4"/>
    </row>
    <row r="113" spans="1:5">
      <c r="A113" s="4" t="s">
        <v>20</v>
      </c>
      <c r="B113" s="4"/>
      <c r="C113" s="4"/>
      <c r="D113" s="4"/>
      <c r="E113" s="4"/>
    </row>
    <row r="114" spans="1:5">
      <c r="A114" s="4" t="s">
        <v>217</v>
      </c>
      <c r="B114" s="4"/>
      <c r="C114" s="4"/>
      <c r="D114" s="4"/>
      <c r="E114" s="4"/>
    </row>
    <row r="115" spans="1:5">
      <c r="A115" s="4" t="s">
        <v>218</v>
      </c>
      <c r="B115" s="4"/>
      <c r="C115" s="4"/>
      <c r="D115" s="4"/>
      <c r="E115" s="4"/>
    </row>
    <row r="116" spans="1:5">
      <c r="A116" s="4" t="s">
        <v>219</v>
      </c>
      <c r="B116" s="4"/>
      <c r="C116" s="4"/>
      <c r="D116" s="4"/>
      <c r="E116" s="4"/>
    </row>
    <row r="117" spans="1:5">
      <c r="A117" s="4" t="s">
        <v>220</v>
      </c>
      <c r="B117" s="4"/>
      <c r="C117" s="4"/>
      <c r="D117" s="4"/>
      <c r="E117" s="4"/>
    </row>
    <row r="118" spans="1:5">
      <c r="A118" s="4" t="s">
        <v>21</v>
      </c>
      <c r="B118" s="4"/>
      <c r="C118" s="4"/>
      <c r="D118" s="4"/>
      <c r="E118" s="4"/>
    </row>
    <row r="119" spans="1:5">
      <c r="A119" s="4" t="s">
        <v>116</v>
      </c>
      <c r="B119" s="4"/>
      <c r="C119" s="4"/>
      <c r="D119" s="4"/>
      <c r="E119" s="4"/>
    </row>
    <row r="120" spans="1:5">
      <c r="A120" s="4" t="s">
        <v>174</v>
      </c>
      <c r="B120" s="4"/>
      <c r="C120" s="4"/>
      <c r="D120" s="4"/>
      <c r="E120" s="4"/>
    </row>
    <row r="121" spans="1:5">
      <c r="A121" s="4" t="s">
        <v>175</v>
      </c>
      <c r="B121" s="4"/>
      <c r="C121" s="4"/>
      <c r="D121" s="4"/>
      <c r="E121" s="4"/>
    </row>
    <row r="122" spans="1:5">
      <c r="A122" s="4" t="s">
        <v>117</v>
      </c>
      <c r="B122" s="4"/>
      <c r="C122" s="4"/>
      <c r="D122" s="4"/>
      <c r="E122" s="4"/>
    </row>
    <row r="123" spans="1:5">
      <c r="A123" s="4" t="s">
        <v>118</v>
      </c>
      <c r="B123" s="4"/>
      <c r="C123" s="4"/>
      <c r="D123" s="4"/>
      <c r="E123" s="4"/>
    </row>
    <row r="124" spans="1:5">
      <c r="A124" s="4"/>
      <c r="B124" s="4"/>
      <c r="C124" s="4"/>
      <c r="D124" s="4"/>
      <c r="E124" s="4"/>
    </row>
    <row r="125" spans="1:5">
      <c r="A125" s="4"/>
      <c r="B125" s="4"/>
      <c r="C125" s="4"/>
      <c r="D125" s="4"/>
      <c r="E125" s="4"/>
    </row>
    <row r="126" spans="1:5">
      <c r="A126" s="4" t="s">
        <v>22</v>
      </c>
      <c r="B126" s="4"/>
      <c r="C126" s="4"/>
      <c r="D126" s="4"/>
      <c r="E126" s="4"/>
    </row>
    <row r="127" spans="1:5">
      <c r="A127" s="4" t="s">
        <v>185</v>
      </c>
      <c r="B127" s="4"/>
      <c r="C127" s="4"/>
      <c r="D127" s="4"/>
      <c r="E127" s="4"/>
    </row>
    <row r="128" spans="1:5">
      <c r="A128" s="4" t="s">
        <v>186</v>
      </c>
      <c r="B128" s="4"/>
      <c r="C128" s="4"/>
      <c r="D128" s="4"/>
      <c r="E128" s="4"/>
    </row>
    <row r="129" spans="1:5">
      <c r="A129" s="4" t="s">
        <v>187</v>
      </c>
      <c r="B129" s="4"/>
      <c r="C129" s="4"/>
      <c r="D129" s="4"/>
      <c r="E129" s="4"/>
    </row>
    <row r="130" spans="1:5">
      <c r="A130" s="4" t="s">
        <v>119</v>
      </c>
      <c r="B130" s="4"/>
      <c r="C130" s="4"/>
      <c r="D130" s="4"/>
      <c r="E130" s="4"/>
    </row>
    <row r="131" spans="1:5">
      <c r="A131" s="4" t="s">
        <v>221</v>
      </c>
      <c r="B131" s="4"/>
      <c r="C131" s="4"/>
      <c r="D131" s="4"/>
      <c r="E131" s="4"/>
    </row>
    <row r="132" spans="1:5">
      <c r="A132" s="4" t="s">
        <v>222</v>
      </c>
      <c r="B132" s="4"/>
      <c r="C132" s="4"/>
      <c r="D132" s="4"/>
      <c r="E132" s="4"/>
    </row>
    <row r="133" spans="1:5">
      <c r="A133" s="4"/>
      <c r="B133" s="4"/>
      <c r="C133" s="4"/>
      <c r="D133" s="4"/>
      <c r="E133" s="4"/>
    </row>
    <row r="134" spans="1:5">
      <c r="A134" s="4" t="s">
        <v>23</v>
      </c>
      <c r="B134" s="4"/>
      <c r="C134" s="4"/>
      <c r="D134" s="4"/>
      <c r="E134" s="4"/>
    </row>
    <row r="135" spans="1:5">
      <c r="A135" s="4" t="s">
        <v>223</v>
      </c>
      <c r="B135" s="4"/>
      <c r="C135" s="4"/>
      <c r="D135" s="4"/>
      <c r="E135" s="4"/>
    </row>
    <row r="136" spans="1:5">
      <c r="A136" s="4" t="s">
        <v>224</v>
      </c>
      <c r="B136" s="4"/>
      <c r="C136" s="4"/>
      <c r="D136" s="4"/>
      <c r="E136" s="4"/>
    </row>
    <row r="137" spans="1:5">
      <c r="A137" s="4" t="s">
        <v>225</v>
      </c>
      <c r="B137" s="4"/>
      <c r="C137" s="4"/>
      <c r="D137" s="4"/>
      <c r="E137" s="4"/>
    </row>
    <row r="138" spans="1:5">
      <c r="A138" s="4" t="s">
        <v>188</v>
      </c>
      <c r="B138" s="4"/>
      <c r="C138" s="4"/>
      <c r="D138" s="4"/>
      <c r="E138" s="4"/>
    </row>
    <row r="139" spans="1:5">
      <c r="A139" s="4" t="s">
        <v>189</v>
      </c>
      <c r="B139" s="4"/>
      <c r="C139" s="4"/>
      <c r="D139" s="4"/>
      <c r="E139" s="4"/>
    </row>
    <row r="140" spans="1:5">
      <c r="A140" s="3"/>
      <c r="B140" s="3"/>
      <c r="C140" s="3"/>
      <c r="D140" s="3"/>
      <c r="E140" s="3"/>
    </row>
    <row r="141" spans="1:5">
      <c r="A141" s="3"/>
      <c r="B141" s="3"/>
      <c r="C141" s="3"/>
      <c r="D141" s="3"/>
      <c r="E141" s="3"/>
    </row>
    <row r="142" spans="1:5">
      <c r="A142" s="4" t="s">
        <v>24</v>
      </c>
      <c r="B142" s="4"/>
      <c r="C142" s="4"/>
      <c r="D142" s="4"/>
      <c r="E142" s="4"/>
    </row>
    <row r="143" spans="1:5">
      <c r="A143" s="4" t="s">
        <v>273</v>
      </c>
      <c r="B143" s="4"/>
      <c r="C143" s="4"/>
      <c r="D143" s="4"/>
      <c r="E143" s="4"/>
    </row>
    <row r="144" spans="1:5">
      <c r="A144" s="4" t="s">
        <v>298</v>
      </c>
      <c r="B144" s="4"/>
      <c r="C144" s="4"/>
      <c r="D144" s="4"/>
      <c r="E144" s="4"/>
    </row>
    <row r="145" spans="1:5">
      <c r="A145" s="4" t="s">
        <v>299</v>
      </c>
      <c r="B145" s="4"/>
      <c r="C145" s="4"/>
      <c r="D145" s="4"/>
      <c r="E145" s="4"/>
    </row>
    <row r="146" spans="1:5">
      <c r="A146" s="4" t="s">
        <v>300</v>
      </c>
      <c r="B146" s="4"/>
      <c r="C146" s="4"/>
      <c r="D146" s="4"/>
      <c r="E146" s="4"/>
    </row>
    <row r="147" spans="1:5">
      <c r="A147" s="4"/>
      <c r="B147" s="4"/>
      <c r="C147" s="4"/>
      <c r="D147" s="4"/>
      <c r="E147" s="4"/>
    </row>
    <row r="148" spans="1:5">
      <c r="A148" s="4"/>
      <c r="B148" s="4"/>
      <c r="C148" s="4"/>
      <c r="D148" s="4"/>
      <c r="E148" s="4"/>
    </row>
    <row r="149" spans="1:5">
      <c r="A149" s="4" t="s">
        <v>25</v>
      </c>
      <c r="B149" s="4"/>
      <c r="C149" s="4"/>
      <c r="D149" s="4"/>
      <c r="E149" s="4"/>
    </row>
    <row r="150" spans="1:5">
      <c r="A150" s="4" t="s">
        <v>274</v>
      </c>
      <c r="B150" s="4"/>
      <c r="C150" s="4"/>
      <c r="D150" s="4"/>
      <c r="E150" s="4"/>
    </row>
    <row r="151" spans="1:5">
      <c r="A151" s="4" t="s">
        <v>275</v>
      </c>
      <c r="B151" s="4"/>
      <c r="C151" s="4"/>
      <c r="D151" s="4"/>
      <c r="E151" s="4"/>
    </row>
    <row r="152" spans="1:5">
      <c r="A152" s="4" t="s">
        <v>276</v>
      </c>
      <c r="B152" s="4"/>
      <c r="C152" s="4"/>
      <c r="D152" s="4"/>
      <c r="E152" s="4"/>
    </row>
    <row r="153" spans="1:5">
      <c r="A153" s="4" t="s">
        <v>277</v>
      </c>
      <c r="B153" s="4"/>
      <c r="C153" s="4"/>
      <c r="D153" s="4"/>
      <c r="E153" s="4"/>
    </row>
    <row r="154" spans="1:5">
      <c r="A154" s="4" t="s">
        <v>190</v>
      </c>
      <c r="B154" s="4"/>
      <c r="C154" s="4"/>
      <c r="D154" s="4"/>
      <c r="E154" s="4"/>
    </row>
    <row r="155" spans="1:5">
      <c r="A155" s="4" t="s">
        <v>191</v>
      </c>
      <c r="B155" s="4"/>
      <c r="C155" s="4"/>
      <c r="D155" s="4"/>
      <c r="E155" s="4"/>
    </row>
    <row r="156" spans="1:5">
      <c r="A156" s="4" t="s">
        <v>192</v>
      </c>
      <c r="B156" s="4"/>
      <c r="C156" s="4"/>
      <c r="D156" s="4"/>
      <c r="E156" s="4"/>
    </row>
    <row r="157" spans="1:5">
      <c r="A157" s="4" t="s">
        <v>193</v>
      </c>
      <c r="B157" s="4"/>
      <c r="C157" s="4"/>
      <c r="D157" s="4"/>
      <c r="E157" s="4"/>
    </row>
    <row r="158" spans="1:5">
      <c r="A158" s="4" t="s">
        <v>194</v>
      </c>
      <c r="B158" s="4"/>
      <c r="C158" s="4"/>
      <c r="D158" s="4"/>
      <c r="E158" s="4"/>
    </row>
    <row r="159" spans="1:5">
      <c r="A159" s="4" t="s">
        <v>195</v>
      </c>
      <c r="B159" s="4"/>
      <c r="C159" s="4"/>
      <c r="D159" s="4"/>
      <c r="E159" s="4"/>
    </row>
    <row r="160" spans="1:5">
      <c r="A160" s="4"/>
      <c r="B160" s="4"/>
      <c r="C160" s="4"/>
      <c r="D160" s="4"/>
      <c r="E160" s="4"/>
    </row>
    <row r="161" spans="1:5" s="105" customFormat="1">
      <c r="A161" s="104" t="s">
        <v>323</v>
      </c>
      <c r="B161" s="104"/>
      <c r="C161" s="104"/>
      <c r="D161" s="104"/>
      <c r="E161" s="104"/>
    </row>
    <row r="162" spans="1:5" s="105" customFormat="1">
      <c r="A162" s="104" t="s">
        <v>326</v>
      </c>
      <c r="B162" s="104"/>
      <c r="C162" s="104"/>
      <c r="D162" s="104"/>
      <c r="E162" s="104"/>
    </row>
    <row r="163" spans="1:5" s="105" customFormat="1">
      <c r="A163" s="104" t="s">
        <v>327</v>
      </c>
      <c r="B163" s="104"/>
      <c r="C163" s="104"/>
      <c r="D163" s="104"/>
      <c r="E163" s="104"/>
    </row>
    <row r="164" spans="1:5" s="105" customFormat="1">
      <c r="A164" s="104" t="s">
        <v>287</v>
      </c>
      <c r="B164" s="104"/>
      <c r="C164" s="104"/>
      <c r="D164" s="104"/>
      <c r="E164" s="104"/>
    </row>
    <row r="165" spans="1:5" s="105" customFormat="1">
      <c r="A165" s="104" t="s">
        <v>288</v>
      </c>
      <c r="B165" s="104"/>
      <c r="C165" s="104"/>
      <c r="D165" s="104"/>
      <c r="E165" s="104"/>
    </row>
    <row r="166" spans="1:5" s="105" customFormat="1">
      <c r="A166" s="104" t="s">
        <v>289</v>
      </c>
      <c r="B166" s="104"/>
      <c r="C166" s="104"/>
      <c r="D166" s="104"/>
      <c r="E166" s="104"/>
    </row>
    <row r="167" spans="1:5">
      <c r="A167" s="4"/>
      <c r="B167" s="4"/>
      <c r="C167" s="4"/>
      <c r="D167" s="4"/>
      <c r="E167" s="4"/>
    </row>
    <row r="168" spans="1:5">
      <c r="A168" s="4"/>
      <c r="B168" s="4"/>
      <c r="C168" s="4"/>
      <c r="D168" s="4"/>
      <c r="E168" s="4"/>
    </row>
    <row r="169" spans="1:5">
      <c r="A169" s="4" t="s">
        <v>290</v>
      </c>
      <c r="B169" s="4"/>
      <c r="C169" s="4"/>
      <c r="D169" s="4"/>
      <c r="E169" s="4"/>
    </row>
    <row r="170" spans="1:5">
      <c r="A170" s="4" t="s">
        <v>196</v>
      </c>
      <c r="B170" s="4"/>
      <c r="C170" s="4"/>
      <c r="D170" s="4"/>
      <c r="E170" s="4"/>
    </row>
    <row r="171" spans="1:5">
      <c r="A171" s="4" t="s">
        <v>278</v>
      </c>
      <c r="B171" s="4"/>
      <c r="C171" s="4"/>
      <c r="D171" s="4"/>
      <c r="E171" s="4"/>
    </row>
    <row r="172" spans="1:5">
      <c r="A172" s="4" t="s">
        <v>197</v>
      </c>
      <c r="B172" s="4"/>
      <c r="C172" s="4"/>
      <c r="D172" s="4"/>
      <c r="E172" s="4"/>
    </row>
    <row r="173" spans="1:5">
      <c r="A173" s="4"/>
      <c r="B173" s="4"/>
      <c r="C173" s="4"/>
      <c r="D173" s="4"/>
      <c r="E173" s="4"/>
    </row>
    <row r="174" spans="1:5">
      <c r="A174" s="4"/>
      <c r="B174" s="4"/>
      <c r="C174" s="4"/>
      <c r="D174" s="4"/>
      <c r="E174" s="4"/>
    </row>
    <row r="175" spans="1:5">
      <c r="A175" s="4" t="s">
        <v>291</v>
      </c>
      <c r="B175" s="4"/>
      <c r="C175" s="4"/>
      <c r="D175" s="4"/>
      <c r="E175" s="4"/>
    </row>
    <row r="176" spans="1:5">
      <c r="A176" s="4" t="s">
        <v>198</v>
      </c>
      <c r="B176" s="4"/>
      <c r="C176" s="4"/>
      <c r="D176" s="4"/>
      <c r="E176" s="4"/>
    </row>
    <row r="177" spans="1:5">
      <c r="A177" s="4" t="s">
        <v>199</v>
      </c>
      <c r="B177" s="4"/>
      <c r="C177" s="4"/>
      <c r="D177" s="4"/>
      <c r="E177" s="4"/>
    </row>
    <row r="178" spans="1:5">
      <c r="A178" s="4"/>
      <c r="B178" s="4"/>
      <c r="C178" s="4"/>
      <c r="D178" s="4"/>
      <c r="E178" s="4"/>
    </row>
    <row r="179" spans="1:5">
      <c r="A179" s="4"/>
      <c r="B179" s="4"/>
      <c r="C179" s="4"/>
      <c r="D179" s="4"/>
      <c r="E179" s="4"/>
    </row>
    <row r="180" spans="1:5">
      <c r="A180" s="4" t="s">
        <v>292</v>
      </c>
      <c r="B180" s="4"/>
      <c r="C180" s="4"/>
      <c r="D180" s="4"/>
      <c r="E180" s="4"/>
    </row>
    <row r="181" spans="1:5">
      <c r="A181" s="4" t="s">
        <v>200</v>
      </c>
      <c r="B181" s="4"/>
      <c r="C181" s="4"/>
      <c r="D181" s="4"/>
      <c r="E181" s="4"/>
    </row>
    <row r="182" spans="1:5">
      <c r="A182" s="4" t="s">
        <v>201</v>
      </c>
      <c r="B182" s="4"/>
      <c r="C182" s="4"/>
      <c r="D182" s="4"/>
      <c r="E182" s="4"/>
    </row>
    <row r="183" spans="1:5">
      <c r="A183" s="4" t="s">
        <v>202</v>
      </c>
      <c r="B183" s="4"/>
      <c r="C183" s="4"/>
      <c r="D183" s="4"/>
      <c r="E183" s="4"/>
    </row>
    <row r="184" spans="1:5">
      <c r="A184" s="4" t="s">
        <v>203</v>
      </c>
      <c r="B184" s="4"/>
      <c r="C184" s="4"/>
      <c r="D184" s="4"/>
      <c r="E184" s="4"/>
    </row>
    <row r="185" spans="1:5">
      <c r="A185" s="4" t="s">
        <v>204</v>
      </c>
      <c r="B185" s="4"/>
      <c r="C185" s="4"/>
      <c r="D185" s="4"/>
      <c r="E185" s="4"/>
    </row>
    <row r="186" spans="1:5">
      <c r="A186" s="4"/>
      <c r="B186" s="4"/>
      <c r="C186" s="4"/>
      <c r="D186" s="4"/>
      <c r="E186" s="4"/>
    </row>
    <row r="187" spans="1:5">
      <c r="A187" s="4"/>
      <c r="B187" s="4"/>
      <c r="C187" s="4"/>
      <c r="D187" s="4"/>
      <c r="E187" s="4"/>
    </row>
    <row r="188" spans="1:5">
      <c r="A188" s="4" t="s">
        <v>293</v>
      </c>
      <c r="B188" s="4"/>
      <c r="C188" s="4"/>
      <c r="D188" s="4"/>
      <c r="E188" s="4"/>
    </row>
    <row r="189" spans="1:5">
      <c r="A189" s="4" t="s">
        <v>205</v>
      </c>
      <c r="B189" s="4"/>
      <c r="C189" s="4"/>
      <c r="D189" s="4"/>
      <c r="E189" s="4"/>
    </row>
    <row r="190" spans="1:5">
      <c r="A190" s="4" t="s">
        <v>206</v>
      </c>
      <c r="B190" s="4"/>
      <c r="C190" s="4"/>
      <c r="D190" s="4"/>
      <c r="E190" s="4"/>
    </row>
    <row r="191" spans="1:5">
      <c r="A191" s="4" t="s">
        <v>207</v>
      </c>
      <c r="B191" s="4"/>
      <c r="C191" s="4"/>
      <c r="D191" s="4"/>
      <c r="E191" s="4"/>
    </row>
    <row r="192" spans="1:5">
      <c r="A192" s="4" t="s">
        <v>208</v>
      </c>
      <c r="B192" s="4"/>
      <c r="C192" s="4"/>
      <c r="D192" s="4"/>
      <c r="E192" s="4"/>
    </row>
    <row r="193" spans="1:5">
      <c r="A193" s="4" t="s">
        <v>120</v>
      </c>
      <c r="B193" s="4"/>
      <c r="C193" s="4"/>
      <c r="D193" s="4"/>
      <c r="E193" s="4"/>
    </row>
    <row r="194" spans="1:5">
      <c r="A194" s="4"/>
      <c r="B194" s="4"/>
      <c r="C194" s="4"/>
      <c r="D194" s="4"/>
      <c r="E194" s="4"/>
    </row>
    <row r="195" spans="1:5">
      <c r="A195" s="4"/>
      <c r="B195" s="4"/>
      <c r="C195" s="4"/>
      <c r="D195" s="4"/>
      <c r="E195" s="4"/>
    </row>
    <row r="196" spans="1:5">
      <c r="A196" s="4" t="s">
        <v>294</v>
      </c>
      <c r="B196" s="4"/>
      <c r="C196" s="4"/>
      <c r="D196" s="4"/>
      <c r="E196" s="4"/>
    </row>
    <row r="197" spans="1:5">
      <c r="A197" s="4" t="s">
        <v>279</v>
      </c>
      <c r="B197" s="4"/>
      <c r="C197" s="4"/>
      <c r="D197" s="4"/>
      <c r="E197" s="4"/>
    </row>
    <row r="198" spans="1:5">
      <c r="A198" s="4" t="s">
        <v>209</v>
      </c>
      <c r="B198" s="4"/>
      <c r="C198" s="4"/>
      <c r="D198" s="4"/>
      <c r="E198" s="4"/>
    </row>
    <row r="199" spans="1:5">
      <c r="A199" s="4" t="s">
        <v>210</v>
      </c>
      <c r="B199" s="4"/>
      <c r="C199" s="4"/>
      <c r="D199" s="4"/>
      <c r="E199" s="4"/>
    </row>
    <row r="200" spans="1:5">
      <c r="A200" s="4"/>
      <c r="B200" s="4"/>
      <c r="C200" s="4"/>
      <c r="D200" s="4"/>
      <c r="E200" s="4"/>
    </row>
    <row r="201" spans="1:5">
      <c r="A201" s="4"/>
      <c r="B201" s="4"/>
      <c r="C201" s="4"/>
      <c r="D201" s="4"/>
      <c r="E201" s="4"/>
    </row>
    <row r="202" spans="1:5">
      <c r="A202" s="4" t="s">
        <v>26</v>
      </c>
      <c r="B202" s="4"/>
      <c r="C202" s="4"/>
      <c r="D202" s="4"/>
      <c r="E202" s="4"/>
    </row>
    <row r="203" spans="1:5">
      <c r="A203" s="4" t="s">
        <v>211</v>
      </c>
      <c r="B203" s="4"/>
      <c r="C203" s="4"/>
      <c r="D203" s="4"/>
      <c r="E203" s="4"/>
    </row>
    <row r="204" spans="1:5">
      <c r="A204" s="4" t="s">
        <v>212</v>
      </c>
      <c r="B204" s="4"/>
      <c r="C204" s="4"/>
      <c r="D204" s="4"/>
      <c r="E204" s="4"/>
    </row>
    <row r="205" spans="1:5">
      <c r="A205" s="4" t="s">
        <v>213</v>
      </c>
      <c r="B205" s="4"/>
      <c r="C205" s="4"/>
      <c r="D205" s="4"/>
      <c r="E205" s="4"/>
    </row>
    <row r="206" spans="1:5">
      <c r="A206" s="4"/>
      <c r="B206" s="4"/>
      <c r="C206" s="4"/>
      <c r="D206" s="4"/>
      <c r="E206" s="4"/>
    </row>
    <row r="207" spans="1:5">
      <c r="A207" s="4"/>
      <c r="B207" s="4"/>
      <c r="C207" s="4"/>
      <c r="D207" s="4"/>
      <c r="E207" s="4"/>
    </row>
    <row r="208" spans="1:5">
      <c r="A208" s="4"/>
      <c r="B208" s="4"/>
      <c r="C208" s="4"/>
      <c r="D208" s="4"/>
      <c r="E208" s="4"/>
    </row>
    <row r="209" spans="1:9">
      <c r="A209" s="4"/>
      <c r="B209" s="4"/>
      <c r="C209" s="4"/>
      <c r="D209" s="4"/>
      <c r="E209" s="4"/>
    </row>
    <row r="210" spans="1:9">
      <c r="A210" s="4"/>
      <c r="B210" s="4"/>
      <c r="C210" s="4"/>
      <c r="D210" s="4"/>
      <c r="E210" s="4"/>
    </row>
    <row r="211" spans="1:9">
      <c r="A211" s="4"/>
      <c r="B211" s="4"/>
      <c r="C211" s="4"/>
      <c r="D211" s="4"/>
      <c r="E211" s="4"/>
    </row>
    <row r="212" spans="1:9">
      <c r="A212" s="4" t="s">
        <v>331</v>
      </c>
      <c r="B212" s="4"/>
      <c r="C212" s="4"/>
      <c r="D212" s="4"/>
      <c r="E212" s="4"/>
    </row>
    <row r="213" spans="1:9">
      <c r="A213" s="4" t="s">
        <v>332</v>
      </c>
      <c r="B213" s="4"/>
      <c r="C213" s="4"/>
      <c r="D213" s="4"/>
      <c r="E213" s="4"/>
    </row>
    <row r="214" spans="1:9">
      <c r="A214" s="4" t="s">
        <v>333</v>
      </c>
      <c r="B214" s="4"/>
      <c r="C214" s="4"/>
      <c r="D214" s="4"/>
      <c r="E214" s="4"/>
    </row>
    <row r="215" spans="1:9">
      <c r="A215" s="4"/>
      <c r="B215" s="4"/>
      <c r="C215" s="4"/>
      <c r="D215" s="4"/>
      <c r="E215" s="4"/>
    </row>
    <row r="216" spans="1:9">
      <c r="A216" s="4"/>
      <c r="B216" s="4"/>
      <c r="C216" s="4"/>
      <c r="D216" s="4"/>
      <c r="E216" s="4"/>
    </row>
    <row r="217" spans="1:9">
      <c r="A217" s="4"/>
      <c r="B217" s="4"/>
      <c r="C217" s="4"/>
      <c r="D217" s="4"/>
      <c r="E217" s="4"/>
    </row>
    <row r="218" spans="1:9">
      <c r="A218" s="4"/>
      <c r="B218" s="4"/>
      <c r="C218" s="4"/>
      <c r="D218" s="4"/>
      <c r="E218" s="4"/>
    </row>
    <row r="219" spans="1:9">
      <c r="A219" s="4" t="s">
        <v>368</v>
      </c>
      <c r="B219" s="4"/>
      <c r="C219" s="4"/>
      <c r="D219" s="4"/>
      <c r="E219" s="4"/>
    </row>
    <row r="220" spans="1:9">
      <c r="A220" s="4" t="s">
        <v>27</v>
      </c>
      <c r="B220" s="4"/>
      <c r="C220" s="4"/>
      <c r="D220" s="4"/>
      <c r="E220" s="4"/>
    </row>
    <row r="221" spans="1:9">
      <c r="A221" s="4" t="s">
        <v>28</v>
      </c>
      <c r="B221" s="4"/>
      <c r="C221" s="4"/>
      <c r="D221" s="4"/>
      <c r="E221" s="4"/>
    </row>
    <row r="222" spans="1:9">
      <c r="A222" s="4" t="s">
        <v>121</v>
      </c>
      <c r="B222" s="4"/>
      <c r="C222" s="90"/>
      <c r="D222" s="90"/>
      <c r="E222" s="90"/>
      <c r="F222" s="91"/>
      <c r="G222" s="91"/>
      <c r="H222" s="91"/>
      <c r="I222" s="91"/>
    </row>
    <row r="223" spans="1:9">
      <c r="A223" s="4"/>
      <c r="B223" s="4"/>
      <c r="C223" s="4"/>
      <c r="D223" s="4"/>
      <c r="E223" s="4"/>
    </row>
    <row r="224" spans="1:9">
      <c r="A224" s="4"/>
      <c r="B224" s="4"/>
      <c r="C224" s="4"/>
      <c r="D224" s="4"/>
      <c r="E224" s="4"/>
    </row>
    <row r="225" spans="1:9">
      <c r="A225" s="4" t="s">
        <v>30</v>
      </c>
      <c r="B225" s="4"/>
      <c r="C225" s="4"/>
      <c r="D225" s="4"/>
      <c r="E225" s="4"/>
    </row>
    <row r="226" spans="1:9">
      <c r="A226" s="4"/>
      <c r="B226" s="4"/>
      <c r="C226" s="4"/>
      <c r="D226" s="4"/>
      <c r="E226" s="4"/>
    </row>
    <row r="227" spans="1:9">
      <c r="A227" s="4" t="s">
        <v>31</v>
      </c>
      <c r="B227" s="4"/>
      <c r="C227" s="4"/>
      <c r="D227" s="4"/>
      <c r="E227" s="4"/>
    </row>
    <row r="228" spans="1:9">
      <c r="A228" s="4" t="s">
        <v>29</v>
      </c>
      <c r="B228" s="4"/>
      <c r="C228" s="90"/>
      <c r="D228" s="90"/>
      <c r="E228" s="90"/>
      <c r="F228" s="91"/>
      <c r="G228" s="91"/>
      <c r="H228" s="91"/>
      <c r="I228" s="91"/>
    </row>
    <row r="229" spans="1:9">
      <c r="A229" s="4"/>
      <c r="B229" s="4"/>
      <c r="C229" s="4"/>
      <c r="D229" s="4"/>
      <c r="E229" s="4"/>
    </row>
    <row r="230" spans="1:9">
      <c r="A230" s="4"/>
      <c r="B230" s="4"/>
      <c r="C230" s="4"/>
      <c r="D230" s="4"/>
      <c r="E230" s="4"/>
    </row>
    <row r="231" spans="1:9">
      <c r="A231" s="4" t="s">
        <v>30</v>
      </c>
      <c r="B231" s="4"/>
      <c r="C231" s="4"/>
      <c r="D231" s="4"/>
      <c r="E231" s="4"/>
    </row>
    <row r="232" spans="1:9">
      <c r="A232" s="4"/>
      <c r="B232" s="4"/>
      <c r="C232" s="4"/>
      <c r="D232" s="4"/>
      <c r="E232" s="4"/>
    </row>
    <row r="233" spans="1:9">
      <c r="A233" s="4"/>
      <c r="B233" s="4"/>
      <c r="C233" s="4"/>
      <c r="D233" s="4"/>
      <c r="E233" s="4"/>
    </row>
    <row r="234" spans="1:9">
      <c r="A234" s="4"/>
      <c r="B234" s="4"/>
      <c r="C234" s="4"/>
      <c r="D234" s="4"/>
      <c r="E234" s="4"/>
    </row>
    <row r="235" spans="1:9">
      <c r="A235" s="4" t="s">
        <v>32</v>
      </c>
      <c r="B235" s="4"/>
      <c r="C235" s="4"/>
      <c r="D235" s="4"/>
      <c r="E235" s="4"/>
    </row>
    <row r="236" spans="1:9">
      <c r="A236" s="4" t="s">
        <v>339</v>
      </c>
      <c r="B236" s="4"/>
      <c r="C236" s="4"/>
      <c r="D236" s="4"/>
      <c r="E236" s="4"/>
    </row>
    <row r="237" spans="1:9">
      <c r="A237" s="4" t="s">
        <v>340</v>
      </c>
      <c r="B237" s="4"/>
      <c r="C237" s="4"/>
      <c r="D237" s="4"/>
      <c r="E237" s="4"/>
    </row>
    <row r="238" spans="1:9">
      <c r="A238" s="4" t="s">
        <v>361</v>
      </c>
      <c r="B238" s="4"/>
      <c r="C238" s="4"/>
      <c r="D238" s="4"/>
      <c r="E238" s="4"/>
    </row>
    <row r="239" spans="1:9" ht="16.5">
      <c r="A239" s="7"/>
      <c r="B239" s="7"/>
      <c r="C239" s="7"/>
      <c r="D239" s="7"/>
      <c r="E239" s="7"/>
    </row>
    <row r="240" spans="1:9">
      <c r="A240" s="4"/>
      <c r="B240" s="4"/>
      <c r="C240" s="4"/>
      <c r="D240" s="4"/>
      <c r="E240" s="4"/>
    </row>
    <row r="241" spans="1:16">
      <c r="A241" s="4"/>
      <c r="B241" s="4"/>
      <c r="C241" s="4"/>
      <c r="D241" s="4"/>
      <c r="E241" s="4"/>
    </row>
    <row r="242" spans="1:16">
      <c r="A242" s="4"/>
      <c r="B242" s="4"/>
      <c r="C242" s="4"/>
      <c r="D242" s="4"/>
      <c r="E242" s="4"/>
    </row>
    <row r="243" spans="1:16">
      <c r="A243" s="4"/>
      <c r="B243" s="4"/>
      <c r="C243" s="4"/>
      <c r="D243" s="4"/>
      <c r="E243" s="4"/>
    </row>
    <row r="244" spans="1:16">
      <c r="A244" s="4"/>
      <c r="B244" s="4"/>
      <c r="C244" s="4"/>
      <c r="D244" s="4"/>
      <c r="E244" s="4"/>
    </row>
    <row r="245" spans="1:16" ht="19">
      <c r="A245" s="1" t="s">
        <v>33</v>
      </c>
      <c r="B245" s="1"/>
      <c r="C245" s="1"/>
      <c r="D245" s="1"/>
      <c r="E245" s="1"/>
      <c r="F245" s="2"/>
      <c r="G245" s="2"/>
      <c r="H245" s="2"/>
      <c r="I245" s="2"/>
      <c r="J245" s="2"/>
      <c r="K245" s="2"/>
      <c r="L245" s="2"/>
      <c r="M245" s="2"/>
      <c r="N245" s="2"/>
      <c r="O245" s="2"/>
      <c r="P245" s="2"/>
    </row>
    <row r="246" spans="1:16">
      <c r="A246" s="8" t="s">
        <v>34</v>
      </c>
      <c r="B246" s="8"/>
      <c r="C246" s="8"/>
      <c r="D246" s="8"/>
      <c r="E246" s="8"/>
    </row>
    <row r="247" spans="1:16">
      <c r="A247" s="8" t="s">
        <v>364</v>
      </c>
      <c r="B247" s="8"/>
      <c r="C247" s="8"/>
      <c r="D247" s="8"/>
      <c r="E247" s="8"/>
    </row>
    <row r="248" spans="1:16">
      <c r="A248" s="9"/>
      <c r="B248" s="9"/>
      <c r="C248" s="9"/>
      <c r="D248" s="9"/>
      <c r="E248" s="9"/>
    </row>
    <row r="249" spans="1:16">
      <c r="A249" s="8" t="s">
        <v>35</v>
      </c>
      <c r="B249" s="8"/>
      <c r="C249" s="8"/>
      <c r="D249" s="8"/>
      <c r="E249" s="8"/>
    </row>
    <row r="250" spans="1:16">
      <c r="A250" s="4" t="s">
        <v>36</v>
      </c>
      <c r="B250" s="4"/>
      <c r="C250" s="4"/>
      <c r="D250" s="4"/>
      <c r="E250" s="4"/>
    </row>
    <row r="251" spans="1:16" ht="15" customHeight="1">
      <c r="A251" s="10" t="s">
        <v>37</v>
      </c>
      <c r="B251" s="11"/>
      <c r="C251" s="11"/>
      <c r="D251" s="11"/>
      <c r="E251" s="11"/>
      <c r="F251" s="11"/>
      <c r="G251" s="12" t="s">
        <v>301</v>
      </c>
      <c r="H251" s="13"/>
      <c r="I251" s="13"/>
      <c r="J251" s="14"/>
      <c r="K251" s="14"/>
      <c r="L251" s="14"/>
      <c r="M251" s="14"/>
      <c r="N251" s="14"/>
      <c r="O251" s="14"/>
      <c r="P251" s="15"/>
    </row>
    <row r="252" spans="1:16" ht="15" customHeight="1">
      <c r="A252" s="16" t="s">
        <v>38</v>
      </c>
      <c r="B252" s="17"/>
      <c r="C252" s="17"/>
      <c r="D252" s="17"/>
      <c r="E252" s="17"/>
      <c r="F252" s="17"/>
      <c r="G252" s="18" t="s">
        <v>302</v>
      </c>
      <c r="H252" s="19"/>
      <c r="I252" s="19"/>
      <c r="J252" s="20"/>
      <c r="K252" s="20"/>
      <c r="L252" s="20"/>
      <c r="M252" s="20"/>
      <c r="N252" s="20"/>
      <c r="O252" s="20"/>
      <c r="P252" s="21"/>
    </row>
    <row r="253" spans="1:16" ht="15" customHeight="1">
      <c r="A253" s="16" t="s">
        <v>39</v>
      </c>
      <c r="B253" s="17"/>
      <c r="C253" s="17"/>
      <c r="D253" s="17"/>
      <c r="E253" s="17"/>
      <c r="F253" s="17"/>
      <c r="G253" s="18" t="s">
        <v>341</v>
      </c>
      <c r="H253" s="19"/>
      <c r="I253" s="19"/>
      <c r="J253" s="20"/>
      <c r="K253" s="20"/>
      <c r="L253" s="20"/>
      <c r="M253" s="20"/>
      <c r="N253" s="20"/>
      <c r="O253" s="20"/>
      <c r="P253" s="21"/>
    </row>
    <row r="254" spans="1:16" ht="15" customHeight="1">
      <c r="A254" s="16" t="s">
        <v>40</v>
      </c>
      <c r="B254" s="17"/>
      <c r="C254" s="17"/>
      <c r="D254" s="17"/>
      <c r="E254" s="17"/>
      <c r="F254" s="17"/>
      <c r="G254" s="18" t="s">
        <v>303</v>
      </c>
      <c r="H254" s="19"/>
      <c r="I254" s="19"/>
      <c r="J254" s="20"/>
      <c r="K254" s="20"/>
      <c r="L254" s="20"/>
      <c r="M254" s="20"/>
      <c r="N254" s="20"/>
      <c r="O254" s="20"/>
      <c r="P254" s="21"/>
    </row>
    <row r="255" spans="1:16" ht="15" customHeight="1">
      <c r="A255" s="16" t="s">
        <v>41</v>
      </c>
      <c r="B255" s="17"/>
      <c r="C255" s="17"/>
      <c r="D255" s="17"/>
      <c r="E255" s="17"/>
      <c r="F255" s="17"/>
      <c r="G255" s="18" t="s">
        <v>366</v>
      </c>
      <c r="H255" s="19"/>
      <c r="I255" s="19"/>
      <c r="J255" s="20"/>
      <c r="K255" s="20"/>
      <c r="L255" s="20"/>
      <c r="M255" s="20"/>
      <c r="N255" s="20"/>
      <c r="O255" s="20"/>
      <c r="P255" s="21"/>
    </row>
    <row r="256" spans="1:16" ht="15" customHeight="1">
      <c r="A256" s="22" t="s">
        <v>42</v>
      </c>
      <c r="B256" s="23"/>
      <c r="C256" s="23"/>
      <c r="D256" s="23"/>
      <c r="E256" s="23"/>
      <c r="F256" s="23"/>
      <c r="G256" s="24" t="s">
        <v>304</v>
      </c>
      <c r="H256" s="25"/>
      <c r="I256" s="25"/>
      <c r="J256" s="26"/>
      <c r="K256" s="26"/>
      <c r="L256" s="26"/>
      <c r="M256" s="26"/>
      <c r="N256" s="26"/>
      <c r="O256" s="26"/>
      <c r="P256" s="27"/>
    </row>
    <row r="257" spans="1:16" ht="13.5" customHeight="1">
      <c r="A257" s="4" t="s">
        <v>43</v>
      </c>
      <c r="B257" s="4"/>
      <c r="C257" s="4"/>
      <c r="D257" s="4"/>
      <c r="E257" s="4"/>
    </row>
    <row r="258" spans="1:16">
      <c r="A258" s="4"/>
      <c r="B258" s="4"/>
      <c r="C258" s="4"/>
      <c r="D258" s="4"/>
      <c r="E258" s="4"/>
    </row>
    <row r="259" spans="1:16">
      <c r="A259" s="4" t="s">
        <v>44</v>
      </c>
      <c r="B259" s="4"/>
      <c r="C259" s="4"/>
      <c r="D259" s="4"/>
      <c r="E259" s="4"/>
    </row>
    <row r="260" spans="1:16" ht="21" customHeight="1">
      <c r="A260" s="10" t="s">
        <v>45</v>
      </c>
      <c r="B260" s="11"/>
      <c r="C260" s="11"/>
      <c r="D260" s="11"/>
      <c r="E260" s="11"/>
      <c r="F260" s="28" t="s">
        <v>46</v>
      </c>
      <c r="G260" s="11"/>
      <c r="H260" s="11"/>
      <c r="I260" s="29"/>
      <c r="J260" s="30"/>
      <c r="K260" s="30"/>
      <c r="L260" s="14"/>
      <c r="M260" s="30" t="s">
        <v>47</v>
      </c>
      <c r="N260" s="30"/>
      <c r="O260" s="14"/>
      <c r="P260" s="15"/>
    </row>
    <row r="261" spans="1:16" ht="15" customHeight="1">
      <c r="A261" s="16" t="s">
        <v>48</v>
      </c>
      <c r="B261" s="17"/>
      <c r="C261" s="17"/>
      <c r="D261" s="17"/>
      <c r="E261" s="17"/>
      <c r="F261" s="31" t="s">
        <v>49</v>
      </c>
      <c r="G261" s="17"/>
      <c r="H261" s="17"/>
      <c r="I261" s="32"/>
      <c r="J261" s="33"/>
      <c r="K261" s="33"/>
      <c r="L261" s="20"/>
      <c r="M261" s="33" t="s">
        <v>50</v>
      </c>
      <c r="N261" s="33"/>
      <c r="O261" s="20"/>
      <c r="P261" s="21"/>
    </row>
    <row r="262" spans="1:16" ht="15" customHeight="1">
      <c r="A262" s="16" t="s">
        <v>51</v>
      </c>
      <c r="B262" s="17"/>
      <c r="C262" s="17"/>
      <c r="D262" s="17"/>
      <c r="E262" s="17"/>
      <c r="F262" s="31" t="s">
        <v>307</v>
      </c>
      <c r="G262" s="17"/>
      <c r="H262" s="17"/>
      <c r="I262" s="32"/>
      <c r="J262" s="33"/>
      <c r="K262" s="33"/>
      <c r="L262" s="20"/>
      <c r="M262" s="33" t="s">
        <v>50</v>
      </c>
      <c r="N262" s="33"/>
      <c r="O262" s="20"/>
      <c r="P262" s="21"/>
    </row>
    <row r="263" spans="1:16" ht="15" customHeight="1">
      <c r="A263" s="22" t="s">
        <v>52</v>
      </c>
      <c r="B263" s="23"/>
      <c r="C263" s="23"/>
      <c r="D263" s="23"/>
      <c r="E263" s="23"/>
      <c r="F263" s="34" t="s">
        <v>305</v>
      </c>
      <c r="G263" s="23"/>
      <c r="H263" s="23"/>
      <c r="I263" s="35"/>
      <c r="J263" s="36"/>
      <c r="K263" s="36"/>
      <c r="L263" s="26"/>
      <c r="M263" s="36" t="s">
        <v>306</v>
      </c>
      <c r="N263" s="36"/>
      <c r="O263" s="26"/>
      <c r="P263" s="27"/>
    </row>
    <row r="264" spans="1:16">
      <c r="A264" s="3"/>
      <c r="B264" s="3"/>
      <c r="C264" s="3"/>
      <c r="D264" s="3"/>
      <c r="E264" s="3"/>
    </row>
    <row r="265" spans="1:16">
      <c r="A265" s="4" t="s">
        <v>53</v>
      </c>
      <c r="B265" s="4"/>
      <c r="C265" s="4"/>
      <c r="D265" s="4"/>
      <c r="E265" s="4"/>
    </row>
    <row r="266" spans="1:16" ht="18.399999999999999" customHeight="1">
      <c r="A266" s="37" t="s">
        <v>54</v>
      </c>
      <c r="B266" s="38"/>
      <c r="C266" s="38"/>
      <c r="D266" s="38"/>
      <c r="E266" s="38"/>
      <c r="F266" s="39" t="s">
        <v>55</v>
      </c>
      <c r="G266" s="38"/>
      <c r="H266" s="40"/>
      <c r="I266" s="39"/>
      <c r="J266" s="39" t="s">
        <v>123</v>
      </c>
      <c r="K266" s="40"/>
      <c r="L266" s="38" t="s">
        <v>122</v>
      </c>
      <c r="M266" s="41"/>
      <c r="N266" s="41"/>
      <c r="O266" s="41"/>
      <c r="P266" s="42"/>
    </row>
    <row r="267" spans="1:16" ht="13.5" customHeight="1">
      <c r="A267" s="4" t="s">
        <v>56</v>
      </c>
      <c r="B267" s="4"/>
      <c r="C267" s="4"/>
      <c r="D267" s="4"/>
      <c r="E267" s="4"/>
    </row>
    <row r="268" spans="1:16">
      <c r="A268" s="9"/>
      <c r="B268" s="9"/>
      <c r="C268" s="9"/>
      <c r="D268" s="9"/>
      <c r="E268" s="9"/>
    </row>
    <row r="269" spans="1:16">
      <c r="A269" s="9"/>
      <c r="B269" s="9"/>
      <c r="C269" s="9"/>
      <c r="D269" s="9"/>
      <c r="E269" s="9"/>
    </row>
    <row r="270" spans="1:16">
      <c r="A270" s="8" t="s">
        <v>126</v>
      </c>
      <c r="B270" s="8"/>
      <c r="C270" s="8"/>
      <c r="D270" s="8"/>
      <c r="E270" s="8"/>
    </row>
    <row r="271" spans="1:16" ht="14.25" customHeight="1">
      <c r="A271" s="8" t="s">
        <v>127</v>
      </c>
      <c r="B271" s="8"/>
      <c r="C271" s="8"/>
      <c r="D271" s="8"/>
      <c r="E271" s="8"/>
    </row>
    <row r="272" spans="1:16">
      <c r="A272" s="43" t="s">
        <v>57</v>
      </c>
      <c r="B272" s="44"/>
      <c r="C272" s="44"/>
      <c r="D272" s="44"/>
      <c r="E272" s="44"/>
      <c r="F272" s="43" t="s">
        <v>58</v>
      </c>
      <c r="G272" s="44"/>
      <c r="H272" s="44"/>
      <c r="I272" s="45"/>
      <c r="J272" s="43" t="s">
        <v>12</v>
      </c>
      <c r="K272" s="44"/>
      <c r="L272" s="44"/>
      <c r="M272" s="45"/>
      <c r="N272" s="44" t="s">
        <v>13</v>
      </c>
      <c r="O272" s="46"/>
      <c r="P272" s="47"/>
    </row>
    <row r="273" spans="1:16">
      <c r="A273" s="43" t="s">
        <v>59</v>
      </c>
      <c r="B273" s="44"/>
      <c r="C273" s="44"/>
      <c r="D273" s="44"/>
      <c r="E273" s="44"/>
      <c r="F273" s="43" t="s">
        <v>60</v>
      </c>
      <c r="G273" s="44"/>
      <c r="H273" s="44"/>
      <c r="I273" s="45"/>
      <c r="J273" s="43" t="s">
        <v>61</v>
      </c>
      <c r="K273" s="44"/>
      <c r="L273" s="44"/>
      <c r="M273" s="45"/>
      <c r="N273" s="44" t="s">
        <v>62</v>
      </c>
      <c r="O273" s="46"/>
      <c r="P273" s="47"/>
    </row>
    <row r="274" spans="1:16">
      <c r="A274" s="43" t="s">
        <v>63</v>
      </c>
      <c r="B274" s="44"/>
      <c r="C274" s="44"/>
      <c r="D274" s="44"/>
      <c r="E274" s="44"/>
      <c r="F274" s="43" t="s">
        <v>64</v>
      </c>
      <c r="G274" s="44"/>
      <c r="H274" s="44"/>
      <c r="I274" s="45"/>
      <c r="J274" s="43" t="s">
        <v>65</v>
      </c>
      <c r="K274" s="44"/>
      <c r="L274" s="44"/>
      <c r="M274" s="45"/>
      <c r="N274" s="44" t="s">
        <v>66</v>
      </c>
      <c r="O274" s="46"/>
      <c r="P274" s="47"/>
    </row>
    <row r="275" spans="1:16">
      <c r="A275" s="43" t="s">
        <v>67</v>
      </c>
      <c r="B275" s="44"/>
      <c r="C275" s="44"/>
      <c r="D275" s="44"/>
      <c r="E275" s="44"/>
      <c r="F275" s="43"/>
      <c r="G275" s="44"/>
      <c r="H275" s="44"/>
      <c r="I275" s="45"/>
      <c r="J275" s="43"/>
      <c r="K275" s="44"/>
      <c r="L275" s="44"/>
      <c r="M275" s="47"/>
      <c r="N275" s="46"/>
      <c r="O275" s="46"/>
      <c r="P275" s="47"/>
    </row>
    <row r="276" spans="1:16" ht="14.25" customHeight="1">
      <c r="A276" s="8" t="s">
        <v>68</v>
      </c>
      <c r="B276" s="8"/>
      <c r="C276" s="8"/>
      <c r="D276" s="8"/>
      <c r="E276" s="8"/>
    </row>
    <row r="277" spans="1:16">
      <c r="A277" s="48" t="s">
        <v>61</v>
      </c>
      <c r="B277" s="106"/>
      <c r="C277" s="106"/>
      <c r="D277" s="106"/>
      <c r="E277" s="106"/>
      <c r="F277" s="48" t="s">
        <v>63</v>
      </c>
      <c r="G277" s="106"/>
      <c r="H277" s="106"/>
      <c r="I277" s="107"/>
      <c r="J277" s="48" t="s">
        <v>69</v>
      </c>
      <c r="K277" s="106"/>
      <c r="L277" s="106"/>
      <c r="M277" s="60"/>
      <c r="N277" s="59" t="s">
        <v>124</v>
      </c>
      <c r="O277" s="59"/>
      <c r="P277" s="60"/>
    </row>
    <row r="278" spans="1:16" ht="13.5" customHeight="1">
      <c r="A278" s="8" t="s">
        <v>226</v>
      </c>
      <c r="B278" s="8"/>
      <c r="C278" s="8"/>
      <c r="D278" s="8"/>
      <c r="E278" s="8"/>
    </row>
    <row r="279" spans="1:16" ht="13.5" customHeight="1">
      <c r="A279" s="8" t="s">
        <v>227</v>
      </c>
      <c r="B279" s="8"/>
      <c r="C279" s="8"/>
      <c r="D279" s="8"/>
      <c r="E279" s="8"/>
    </row>
    <row r="280" spans="1:16">
      <c r="A280" s="8" t="s">
        <v>125</v>
      </c>
      <c r="B280" s="8"/>
      <c r="C280" s="8"/>
      <c r="D280" s="8"/>
      <c r="E280" s="8"/>
    </row>
    <row r="281" spans="1:16">
      <c r="A281" s="3"/>
      <c r="B281" s="3"/>
      <c r="C281" s="3"/>
      <c r="D281" s="3"/>
      <c r="E281" s="3"/>
    </row>
    <row r="282" spans="1:16">
      <c r="A282" s="4" t="s">
        <v>70</v>
      </c>
      <c r="B282" s="4"/>
      <c r="C282" s="4"/>
      <c r="D282" s="4"/>
      <c r="E282" s="4"/>
    </row>
    <row r="283" spans="1:16">
      <c r="A283" s="4" t="s">
        <v>71</v>
      </c>
      <c r="B283" s="4"/>
      <c r="C283" s="4"/>
      <c r="D283" s="4"/>
      <c r="E283" s="4"/>
    </row>
    <row r="284" spans="1:16">
      <c r="A284" s="4" t="s">
        <v>228</v>
      </c>
      <c r="B284" s="4"/>
      <c r="C284" s="4"/>
      <c r="D284" s="4"/>
      <c r="E284" s="4"/>
    </row>
    <row r="285" spans="1:16">
      <c r="A285" s="4" t="s">
        <v>229</v>
      </c>
      <c r="B285" s="4"/>
      <c r="C285" s="4"/>
      <c r="D285" s="4"/>
      <c r="E285" s="4"/>
    </row>
    <row r="286" spans="1:16">
      <c r="A286" s="4" t="s">
        <v>230</v>
      </c>
      <c r="B286" s="4"/>
      <c r="C286" s="4"/>
      <c r="D286" s="4"/>
      <c r="E286" s="4"/>
    </row>
    <row r="287" spans="1:16">
      <c r="A287" s="3"/>
      <c r="B287" s="3"/>
      <c r="C287" s="3"/>
      <c r="D287" s="3"/>
      <c r="E287" s="3"/>
    </row>
    <row r="288" spans="1:16">
      <c r="A288" s="4" t="s">
        <v>72</v>
      </c>
      <c r="B288" s="4"/>
      <c r="C288" s="4"/>
      <c r="D288" s="4"/>
      <c r="E288" s="4"/>
    </row>
    <row r="289" spans="1:5">
      <c r="A289" s="4" t="s">
        <v>128</v>
      </c>
      <c r="B289" s="4"/>
      <c r="C289" s="4"/>
      <c r="D289" s="4"/>
      <c r="E289" s="4"/>
    </row>
    <row r="290" spans="1:5">
      <c r="A290" s="4" t="s">
        <v>328</v>
      </c>
      <c r="B290" s="4"/>
      <c r="C290" s="4"/>
      <c r="D290" s="4"/>
      <c r="E290" s="4"/>
    </row>
    <row r="291" spans="1:5">
      <c r="A291" s="4" t="s">
        <v>231</v>
      </c>
      <c r="B291" s="4"/>
      <c r="C291" s="4"/>
      <c r="D291" s="4"/>
      <c r="E291" s="4"/>
    </row>
    <row r="292" spans="1:5">
      <c r="A292" s="4" t="s">
        <v>232</v>
      </c>
      <c r="B292" s="4"/>
      <c r="C292" s="4"/>
      <c r="D292" s="4"/>
      <c r="E292" s="4"/>
    </row>
    <row r="293" spans="1:5">
      <c r="A293" s="4" t="s">
        <v>73</v>
      </c>
      <c r="B293" s="4"/>
      <c r="C293" s="4"/>
      <c r="D293" s="4"/>
      <c r="E293" s="4"/>
    </row>
    <row r="294" spans="1:5">
      <c r="A294" s="4" t="s">
        <v>129</v>
      </c>
      <c r="B294" s="4"/>
      <c r="C294" s="4"/>
      <c r="D294" s="4"/>
      <c r="E294" s="4"/>
    </row>
    <row r="295" spans="1:5">
      <c r="A295" s="4" t="s">
        <v>74</v>
      </c>
      <c r="B295" s="4"/>
      <c r="C295" s="4"/>
      <c r="D295" s="4"/>
      <c r="E295" s="4"/>
    </row>
    <row r="296" spans="1:5">
      <c r="A296" s="4" t="s">
        <v>130</v>
      </c>
      <c r="B296" s="4"/>
      <c r="C296" s="4"/>
      <c r="D296" s="4"/>
      <c r="E296" s="4"/>
    </row>
    <row r="297" spans="1:5">
      <c r="A297" s="49" t="s">
        <v>131</v>
      </c>
      <c r="B297" s="49"/>
      <c r="C297" s="49"/>
      <c r="D297" s="49"/>
      <c r="E297" s="49"/>
    </row>
    <row r="298" spans="1:5">
      <c r="A298" s="4" t="s">
        <v>233</v>
      </c>
      <c r="B298" s="4"/>
      <c r="C298" s="4"/>
      <c r="D298" s="4"/>
      <c r="E298" s="4"/>
    </row>
    <row r="299" spans="1:5">
      <c r="A299" s="49" t="s">
        <v>132</v>
      </c>
      <c r="B299" s="49"/>
      <c r="C299" s="49"/>
      <c r="D299" s="49"/>
      <c r="E299" s="49"/>
    </row>
    <row r="300" spans="1:5">
      <c r="A300" s="49" t="s">
        <v>133</v>
      </c>
      <c r="B300" s="49"/>
      <c r="C300" s="49"/>
      <c r="D300" s="49"/>
      <c r="E300" s="49"/>
    </row>
    <row r="301" spans="1:5">
      <c r="A301" s="49" t="s">
        <v>134</v>
      </c>
      <c r="B301" s="49"/>
      <c r="C301" s="49"/>
      <c r="D301" s="49"/>
      <c r="E301" s="49"/>
    </row>
    <row r="302" spans="1:5">
      <c r="A302" s="4" t="s">
        <v>135</v>
      </c>
      <c r="B302" s="4"/>
      <c r="C302" s="4"/>
      <c r="D302" s="4"/>
      <c r="E302" s="4"/>
    </row>
    <row r="303" spans="1:5">
      <c r="A303" s="4" t="s">
        <v>136</v>
      </c>
      <c r="B303" s="4"/>
      <c r="C303" s="4"/>
      <c r="D303" s="4"/>
      <c r="E303" s="4"/>
    </row>
    <row r="304" spans="1:5">
      <c r="A304" s="4" t="s">
        <v>234</v>
      </c>
      <c r="B304" s="4"/>
      <c r="C304" s="4"/>
      <c r="D304" s="4"/>
      <c r="E304" s="4"/>
    </row>
    <row r="305" spans="1:5">
      <c r="A305" s="4" t="s">
        <v>235</v>
      </c>
      <c r="B305" s="4"/>
      <c r="C305" s="4"/>
      <c r="D305" s="4"/>
      <c r="E305" s="4"/>
    </row>
    <row r="306" spans="1:5">
      <c r="A306" s="4" t="s">
        <v>236</v>
      </c>
      <c r="B306" s="4"/>
      <c r="C306" s="4"/>
      <c r="D306" s="4"/>
      <c r="E306" s="4"/>
    </row>
    <row r="307" spans="1:5">
      <c r="A307" s="4" t="s">
        <v>237</v>
      </c>
      <c r="B307" s="4"/>
      <c r="C307" s="4"/>
      <c r="D307" s="4"/>
      <c r="E307" s="4"/>
    </row>
    <row r="308" spans="1:5">
      <c r="A308" s="4" t="s">
        <v>238</v>
      </c>
      <c r="B308" s="4"/>
      <c r="C308" s="4"/>
      <c r="D308" s="4"/>
      <c r="E308" s="4"/>
    </row>
    <row r="309" spans="1:5">
      <c r="A309" s="4" t="s">
        <v>239</v>
      </c>
      <c r="B309" s="4"/>
      <c r="C309" s="4"/>
      <c r="D309" s="4"/>
      <c r="E309" s="4"/>
    </row>
    <row r="310" spans="1:5">
      <c r="A310" s="3"/>
      <c r="B310" s="3"/>
      <c r="C310" s="3"/>
      <c r="D310" s="3"/>
      <c r="E310" s="3"/>
    </row>
    <row r="311" spans="1:5">
      <c r="A311" s="4" t="s">
        <v>75</v>
      </c>
      <c r="B311" s="4"/>
      <c r="C311" s="4"/>
      <c r="D311" s="4"/>
      <c r="E311" s="4"/>
    </row>
    <row r="312" spans="1:5">
      <c r="A312" s="4" t="s">
        <v>76</v>
      </c>
      <c r="B312" s="4"/>
      <c r="C312" s="4"/>
      <c r="D312" s="4"/>
      <c r="E312" s="4"/>
    </row>
    <row r="313" spans="1:5">
      <c r="A313" s="4" t="s">
        <v>240</v>
      </c>
      <c r="B313" s="4"/>
      <c r="C313" s="4"/>
      <c r="D313" s="4"/>
      <c r="E313" s="4"/>
    </row>
    <row r="314" spans="1:5">
      <c r="A314" s="4" t="s">
        <v>241</v>
      </c>
      <c r="B314" s="4"/>
      <c r="C314" s="4"/>
      <c r="D314" s="4"/>
      <c r="E314" s="4"/>
    </row>
    <row r="315" spans="1:5">
      <c r="A315" s="4" t="s">
        <v>242</v>
      </c>
      <c r="B315" s="4"/>
      <c r="C315" s="4"/>
      <c r="D315" s="4"/>
      <c r="E315" s="4"/>
    </row>
    <row r="316" spans="1:5">
      <c r="A316" s="4" t="s">
        <v>243</v>
      </c>
      <c r="B316" s="4"/>
      <c r="C316" s="4"/>
      <c r="D316" s="4"/>
      <c r="E316" s="4"/>
    </row>
    <row r="317" spans="1:5">
      <c r="A317" s="4" t="s">
        <v>244</v>
      </c>
      <c r="B317" s="4"/>
      <c r="C317" s="4"/>
      <c r="D317" s="4"/>
      <c r="E317" s="4"/>
    </row>
    <row r="318" spans="1:5">
      <c r="A318" s="4" t="s">
        <v>245</v>
      </c>
      <c r="B318" s="4"/>
      <c r="C318" s="4"/>
      <c r="D318" s="4"/>
      <c r="E318" s="4"/>
    </row>
    <row r="319" spans="1:5">
      <c r="A319" s="4" t="s">
        <v>77</v>
      </c>
      <c r="B319" s="4"/>
      <c r="C319" s="4"/>
      <c r="D319" s="4"/>
      <c r="E319" s="4"/>
    </row>
    <row r="320" spans="1:5">
      <c r="A320" s="4" t="s">
        <v>246</v>
      </c>
      <c r="B320" s="4"/>
      <c r="C320" s="4"/>
      <c r="D320" s="4"/>
      <c r="E320" s="4"/>
    </row>
    <row r="321" spans="1:5">
      <c r="A321" s="4" t="s">
        <v>343</v>
      </c>
      <c r="B321" s="4"/>
      <c r="C321" s="4"/>
      <c r="D321" s="4"/>
      <c r="E321" s="4"/>
    </row>
    <row r="322" spans="1:5">
      <c r="A322" s="4" t="s">
        <v>247</v>
      </c>
      <c r="B322" s="4"/>
      <c r="C322" s="4"/>
      <c r="D322" s="4"/>
      <c r="E322" s="4"/>
    </row>
    <row r="323" spans="1:5">
      <c r="A323" s="4" t="s">
        <v>248</v>
      </c>
      <c r="B323" s="4"/>
      <c r="C323" s="4"/>
      <c r="D323" s="4"/>
      <c r="E323" s="4"/>
    </row>
    <row r="324" spans="1:5">
      <c r="A324" s="4" t="s">
        <v>78</v>
      </c>
      <c r="B324" s="4"/>
      <c r="C324" s="4"/>
      <c r="D324" s="4"/>
      <c r="E324" s="4"/>
    </row>
    <row r="325" spans="1:5" s="105" customFormat="1">
      <c r="A325" s="104" t="s">
        <v>324</v>
      </c>
      <c r="B325" s="104"/>
      <c r="C325" s="104"/>
      <c r="D325" s="104"/>
      <c r="E325" s="104"/>
    </row>
    <row r="326" spans="1:5" s="105" customFormat="1">
      <c r="A326" s="104" t="s">
        <v>325</v>
      </c>
      <c r="B326" s="104"/>
      <c r="C326" s="104"/>
      <c r="D326" s="104"/>
      <c r="E326" s="104"/>
    </row>
    <row r="327" spans="1:5" s="105" customFormat="1">
      <c r="A327" s="104" t="s">
        <v>295</v>
      </c>
      <c r="B327" s="104"/>
      <c r="C327" s="104"/>
      <c r="D327" s="104"/>
      <c r="E327" s="104"/>
    </row>
    <row r="328" spans="1:5" s="105" customFormat="1">
      <c r="A328" s="104" t="s">
        <v>296</v>
      </c>
      <c r="B328" s="104"/>
      <c r="C328" s="104"/>
      <c r="D328" s="104"/>
      <c r="E328" s="104"/>
    </row>
    <row r="329" spans="1:5" s="105" customFormat="1">
      <c r="A329" s="104" t="s">
        <v>297</v>
      </c>
      <c r="B329" s="104"/>
      <c r="C329" s="104"/>
      <c r="D329" s="104"/>
      <c r="E329" s="104"/>
    </row>
    <row r="330" spans="1:5">
      <c r="A330" s="3"/>
      <c r="B330" s="3"/>
      <c r="C330" s="3"/>
      <c r="D330" s="3"/>
      <c r="E330" s="3"/>
    </row>
    <row r="331" spans="1:5">
      <c r="A331" s="4" t="s">
        <v>79</v>
      </c>
      <c r="B331" s="4"/>
      <c r="C331" s="4"/>
      <c r="D331" s="4"/>
      <c r="E331" s="4"/>
    </row>
    <row r="332" spans="1:5">
      <c r="A332" s="4" t="s">
        <v>249</v>
      </c>
      <c r="B332" s="4"/>
      <c r="C332" s="4"/>
      <c r="D332" s="4"/>
      <c r="E332" s="4"/>
    </row>
    <row r="333" spans="1:5">
      <c r="A333" s="4" t="s">
        <v>250</v>
      </c>
      <c r="B333" s="4"/>
      <c r="C333" s="4"/>
      <c r="D333" s="4"/>
      <c r="E333" s="4"/>
    </row>
    <row r="334" spans="1:5">
      <c r="A334" s="8"/>
      <c r="B334" s="8"/>
      <c r="C334" s="8" t="s">
        <v>264</v>
      </c>
      <c r="D334" s="8"/>
      <c r="E334" s="8"/>
    </row>
    <row r="335" spans="1:5">
      <c r="A335" s="4"/>
      <c r="B335" s="4"/>
      <c r="C335" s="4" t="s">
        <v>362</v>
      </c>
      <c r="D335" s="4"/>
      <c r="E335" s="4"/>
    </row>
    <row r="336" spans="1:5">
      <c r="A336" s="4"/>
      <c r="B336" s="4"/>
      <c r="C336" s="4" t="s">
        <v>308</v>
      </c>
      <c r="D336" s="4"/>
      <c r="E336" s="4"/>
    </row>
    <row r="337" spans="1:14" ht="14.25" customHeight="1">
      <c r="A337" s="4" t="s">
        <v>80</v>
      </c>
      <c r="B337" s="4"/>
      <c r="C337" s="4"/>
      <c r="D337" s="4"/>
      <c r="E337" s="4"/>
    </row>
    <row r="338" spans="1:14" ht="18" customHeight="1">
      <c r="A338" s="100"/>
      <c r="B338" s="37" t="s">
        <v>81</v>
      </c>
      <c r="C338" s="101"/>
      <c r="D338" s="50" t="s">
        <v>309</v>
      </c>
      <c r="E338" s="50"/>
      <c r="F338" s="50"/>
      <c r="G338" s="50"/>
      <c r="H338" s="50"/>
      <c r="I338" s="51"/>
      <c r="J338" s="38" t="s">
        <v>317</v>
      </c>
      <c r="K338" s="38"/>
      <c r="L338" s="41"/>
      <c r="M338" s="41"/>
      <c r="N338" s="42"/>
    </row>
    <row r="339" spans="1:14" ht="18" customHeight="1">
      <c r="A339" s="100"/>
      <c r="B339" s="37" t="s">
        <v>82</v>
      </c>
      <c r="C339" s="101"/>
      <c r="D339" s="50" t="s">
        <v>83</v>
      </c>
      <c r="E339" s="50"/>
      <c r="F339" s="50"/>
      <c r="G339" s="50"/>
      <c r="H339" s="50"/>
      <c r="I339" s="51"/>
      <c r="J339" s="38" t="s">
        <v>84</v>
      </c>
      <c r="K339" s="38"/>
      <c r="L339" s="41"/>
      <c r="M339" s="41"/>
      <c r="N339" s="42"/>
    </row>
    <row r="340" spans="1:14" ht="18" customHeight="1">
      <c r="A340" s="100"/>
      <c r="B340" s="37" t="s">
        <v>310</v>
      </c>
      <c r="C340" s="101"/>
      <c r="D340" s="50" t="s">
        <v>311</v>
      </c>
      <c r="E340" s="50"/>
      <c r="F340" s="50"/>
      <c r="G340" s="50"/>
      <c r="H340" s="50"/>
      <c r="I340" s="51"/>
      <c r="J340" s="38" t="s">
        <v>318</v>
      </c>
      <c r="K340" s="38"/>
      <c r="L340" s="41"/>
      <c r="M340" s="41"/>
      <c r="N340" s="42"/>
    </row>
    <row r="341" spans="1:14" ht="18" customHeight="1">
      <c r="A341" s="100"/>
      <c r="B341" s="37" t="s">
        <v>312</v>
      </c>
      <c r="C341" s="101"/>
      <c r="D341" s="50" t="s">
        <v>313</v>
      </c>
      <c r="E341" s="50"/>
      <c r="F341" s="50"/>
      <c r="G341" s="50"/>
      <c r="H341" s="50"/>
      <c r="I341" s="51"/>
      <c r="J341" s="38" t="s">
        <v>319</v>
      </c>
      <c r="K341" s="38"/>
      <c r="L341" s="41"/>
      <c r="M341" s="41"/>
      <c r="N341" s="42"/>
    </row>
    <row r="342" spans="1:14" ht="18" customHeight="1">
      <c r="A342" s="100"/>
      <c r="B342" s="37" t="s">
        <v>85</v>
      </c>
      <c r="C342" s="101"/>
      <c r="D342" s="50" t="s">
        <v>314</v>
      </c>
      <c r="E342" s="50"/>
      <c r="F342" s="50"/>
      <c r="G342" s="50"/>
      <c r="H342" s="50"/>
      <c r="I342" s="51"/>
      <c r="J342" s="38" t="s">
        <v>320</v>
      </c>
      <c r="K342" s="38"/>
      <c r="L342" s="41"/>
      <c r="M342" s="41"/>
      <c r="N342" s="42"/>
    </row>
    <row r="343" spans="1:14" ht="18" customHeight="1">
      <c r="A343" s="100"/>
      <c r="B343" s="37" t="s">
        <v>315</v>
      </c>
      <c r="C343" s="101"/>
      <c r="D343" s="50" t="s">
        <v>316</v>
      </c>
      <c r="E343" s="50"/>
      <c r="F343" s="50"/>
      <c r="G343" s="50"/>
      <c r="H343" s="50"/>
      <c r="I343" s="51"/>
      <c r="J343" s="38" t="s">
        <v>321</v>
      </c>
      <c r="K343" s="38"/>
      <c r="L343" s="41"/>
      <c r="M343" s="41"/>
      <c r="N343" s="42"/>
    </row>
    <row r="344" spans="1:14" ht="18" customHeight="1">
      <c r="A344" s="100"/>
      <c r="B344" s="37"/>
      <c r="C344" s="101"/>
      <c r="D344" s="50"/>
      <c r="E344" s="50"/>
      <c r="F344" s="50"/>
      <c r="G344" s="50"/>
      <c r="H344" s="50"/>
      <c r="I344" s="51"/>
      <c r="J344" s="38"/>
      <c r="K344" s="38"/>
      <c r="L344" s="41"/>
      <c r="M344" s="41"/>
      <c r="N344" s="42"/>
    </row>
    <row r="345" spans="1:14" ht="16.5" customHeight="1">
      <c r="A345" s="108" t="s">
        <v>370</v>
      </c>
      <c r="B345" s="52"/>
      <c r="C345" s="52"/>
      <c r="D345" s="52"/>
      <c r="E345" s="52"/>
    </row>
    <row r="346" spans="1:14" ht="13.5" customHeight="1">
      <c r="A346" s="53" t="s">
        <v>148</v>
      </c>
      <c r="B346" s="53"/>
      <c r="C346" s="53"/>
      <c r="D346" s="53"/>
      <c r="E346" s="53"/>
    </row>
    <row r="347" spans="1:14" ht="13.5" customHeight="1">
      <c r="A347" s="53" t="s">
        <v>149</v>
      </c>
      <c r="B347" s="53"/>
      <c r="C347" s="53"/>
      <c r="D347" s="53"/>
      <c r="E347" s="53"/>
    </row>
    <row r="348" spans="1:14" ht="13.5" customHeight="1">
      <c r="A348" s="53" t="s">
        <v>359</v>
      </c>
      <c r="B348" s="53"/>
      <c r="C348" s="53"/>
      <c r="D348" s="53"/>
      <c r="E348" s="53"/>
    </row>
    <row r="349" spans="1:14" ht="13.5" customHeight="1">
      <c r="A349" s="53" t="s">
        <v>86</v>
      </c>
      <c r="B349" s="53"/>
      <c r="C349" s="53"/>
      <c r="D349" s="53"/>
      <c r="E349" s="53"/>
    </row>
    <row r="350" spans="1:14" ht="13.5" customHeight="1">
      <c r="A350" s="53" t="s">
        <v>342</v>
      </c>
      <c r="B350" s="53"/>
      <c r="C350" s="53"/>
      <c r="D350" s="53"/>
      <c r="E350" s="53"/>
    </row>
    <row r="351" spans="1:14" ht="13.5" customHeight="1">
      <c r="A351" s="53" t="s">
        <v>322</v>
      </c>
      <c r="B351" s="53"/>
      <c r="C351" s="53"/>
      <c r="D351" s="53"/>
      <c r="E351" s="53"/>
    </row>
    <row r="352" spans="1:14" ht="13.5" customHeight="1">
      <c r="A352" s="53" t="s">
        <v>367</v>
      </c>
      <c r="B352" s="53"/>
      <c r="C352" s="53"/>
      <c r="D352" s="53"/>
      <c r="E352" s="53"/>
    </row>
    <row r="353" spans="1:16" ht="13.5" customHeight="1">
      <c r="A353" s="53"/>
      <c r="B353" s="53"/>
      <c r="C353" s="53"/>
      <c r="D353" s="53"/>
      <c r="E353" s="53"/>
    </row>
    <row r="354" spans="1:16" ht="13.5" customHeight="1">
      <c r="A354" s="53" t="s">
        <v>87</v>
      </c>
      <c r="B354" s="53"/>
      <c r="C354" s="53"/>
      <c r="D354" s="53"/>
      <c r="E354" s="53"/>
    </row>
    <row r="355" spans="1:16" ht="13.5" customHeight="1">
      <c r="A355" s="53" t="s">
        <v>88</v>
      </c>
      <c r="B355" s="53"/>
      <c r="C355" s="53"/>
      <c r="D355" s="53"/>
      <c r="E355" s="53"/>
    </row>
    <row r="356" spans="1:16" ht="13.5" customHeight="1">
      <c r="A356" s="53" t="s">
        <v>89</v>
      </c>
      <c r="B356" s="53"/>
      <c r="C356" s="53"/>
      <c r="D356" s="53"/>
      <c r="E356" s="53"/>
    </row>
    <row r="357" spans="1:16" ht="13.5" customHeight="1">
      <c r="A357" s="53" t="s">
        <v>150</v>
      </c>
      <c r="B357" s="53"/>
      <c r="C357" s="53"/>
      <c r="D357" s="53"/>
      <c r="E357" s="53"/>
    </row>
    <row r="358" spans="1:16" ht="13.5" customHeight="1">
      <c r="A358" s="53" t="s">
        <v>151</v>
      </c>
      <c r="B358" s="53"/>
      <c r="C358" s="53"/>
      <c r="D358" s="53"/>
      <c r="E358" s="53"/>
    </row>
    <row r="359" spans="1:16" ht="13.5" customHeight="1">
      <c r="A359" s="53" t="s">
        <v>90</v>
      </c>
      <c r="B359" s="53"/>
      <c r="C359" s="53"/>
      <c r="D359" s="53"/>
      <c r="E359" s="53"/>
    </row>
    <row r="360" spans="1:16" ht="13.5" customHeight="1">
      <c r="A360" s="53"/>
      <c r="B360" s="53"/>
      <c r="C360" s="53"/>
      <c r="D360" s="53"/>
      <c r="E360" s="53"/>
    </row>
    <row r="361" spans="1:16" ht="13.5" customHeight="1">
      <c r="A361" s="53" t="s">
        <v>137</v>
      </c>
      <c r="B361" s="53"/>
      <c r="C361" s="53"/>
      <c r="D361" s="53"/>
      <c r="E361" s="53"/>
    </row>
    <row r="362" spans="1:16" ht="16.5">
      <c r="A362" s="54" t="s">
        <v>91</v>
      </c>
      <c r="B362" s="54"/>
      <c r="C362" s="54"/>
      <c r="D362" s="54"/>
      <c r="E362" s="54"/>
      <c r="F362" s="2"/>
      <c r="G362" s="2"/>
      <c r="H362" s="2"/>
      <c r="I362" s="2"/>
      <c r="J362" s="2"/>
      <c r="K362" s="2"/>
      <c r="L362" s="2"/>
      <c r="M362" s="2"/>
      <c r="N362" s="2"/>
      <c r="O362" s="2"/>
      <c r="P362" s="2"/>
    </row>
    <row r="363" spans="1:16" ht="18" customHeight="1">
      <c r="A363" s="55"/>
      <c r="B363" s="55"/>
      <c r="C363" s="55"/>
      <c r="D363" s="55"/>
      <c r="E363" s="55"/>
    </row>
    <row r="364" spans="1:16" ht="18" customHeight="1">
      <c r="A364" s="56"/>
      <c r="B364" s="56"/>
      <c r="C364" s="56"/>
      <c r="D364" s="56"/>
      <c r="E364" s="56"/>
    </row>
    <row r="365" spans="1:16" ht="18" customHeight="1">
      <c r="A365" s="57" t="s">
        <v>92</v>
      </c>
      <c r="B365" s="57"/>
      <c r="C365" s="57"/>
      <c r="D365" s="57"/>
      <c r="E365" s="57"/>
    </row>
    <row r="366" spans="1:16" ht="18" customHeight="1">
      <c r="A366" s="102" t="s">
        <v>93</v>
      </c>
      <c r="B366" s="58"/>
      <c r="C366" s="58"/>
      <c r="D366" s="58"/>
      <c r="E366" s="58"/>
      <c r="F366" s="58" t="s">
        <v>94</v>
      </c>
      <c r="G366" s="58"/>
      <c r="H366" s="58"/>
      <c r="I366" s="58"/>
      <c r="J366" s="58"/>
      <c r="K366" s="58"/>
      <c r="L366" s="58"/>
      <c r="M366" s="59"/>
      <c r="N366" s="59"/>
      <c r="O366" s="59"/>
      <c r="P366" s="60"/>
    </row>
    <row r="367" spans="1:16" ht="18" customHeight="1">
      <c r="A367" s="61">
        <v>1</v>
      </c>
      <c r="B367" s="62"/>
      <c r="C367" s="62" t="s">
        <v>139</v>
      </c>
      <c r="D367" s="62"/>
      <c r="E367" s="62"/>
      <c r="F367" s="62"/>
      <c r="G367" s="62"/>
      <c r="H367" s="62"/>
      <c r="I367" s="62"/>
      <c r="J367" s="62"/>
      <c r="K367" s="62"/>
      <c r="L367" s="62"/>
      <c r="M367" s="63"/>
      <c r="N367" s="63"/>
      <c r="O367" s="64"/>
      <c r="P367" s="65"/>
    </row>
    <row r="368" spans="1:16" ht="18" customHeight="1">
      <c r="A368" s="61"/>
      <c r="B368" s="62"/>
      <c r="C368" s="62"/>
      <c r="D368" s="62"/>
      <c r="E368" s="62"/>
      <c r="F368" s="62"/>
      <c r="G368" s="62"/>
      <c r="H368" s="62"/>
      <c r="I368" s="62"/>
      <c r="J368" s="62"/>
      <c r="K368" s="62"/>
      <c r="L368" s="62"/>
      <c r="M368" s="63"/>
      <c r="N368" s="63"/>
      <c r="O368" s="63"/>
      <c r="P368" s="66"/>
    </row>
    <row r="369" spans="1:16" ht="18" customHeight="1">
      <c r="A369" s="67"/>
      <c r="B369" s="68"/>
      <c r="C369" s="68"/>
      <c r="D369" s="68"/>
      <c r="E369" s="68"/>
      <c r="F369" s="68"/>
      <c r="G369" s="68"/>
      <c r="H369" s="68"/>
      <c r="I369" s="68"/>
      <c r="J369" s="68"/>
      <c r="K369" s="68"/>
      <c r="L369" s="68"/>
      <c r="M369" s="69"/>
      <c r="N369" s="69"/>
      <c r="O369" s="69"/>
      <c r="P369" s="70"/>
    </row>
    <row r="370" spans="1:16" ht="18" customHeight="1">
      <c r="A370" s="71">
        <v>2</v>
      </c>
      <c r="B370" s="72"/>
      <c r="C370" s="72" t="s">
        <v>140</v>
      </c>
      <c r="D370" s="72"/>
      <c r="E370" s="72"/>
      <c r="F370" s="72"/>
      <c r="G370" s="72"/>
      <c r="H370" s="72"/>
      <c r="I370" s="72"/>
      <c r="J370" s="72"/>
      <c r="K370" s="72"/>
      <c r="L370" s="72"/>
      <c r="M370" s="64"/>
      <c r="N370" s="64"/>
      <c r="O370" s="64"/>
      <c r="P370" s="65"/>
    </row>
    <row r="371" spans="1:16" ht="18" customHeight="1">
      <c r="A371" s="61"/>
      <c r="B371" s="62"/>
      <c r="C371" s="62"/>
      <c r="D371" s="62"/>
      <c r="E371" s="62"/>
      <c r="F371" s="62"/>
      <c r="G371" s="62"/>
      <c r="H371" s="62"/>
      <c r="I371" s="62"/>
      <c r="J371" s="62"/>
      <c r="K371" s="62"/>
      <c r="L371" s="62"/>
      <c r="M371" s="63"/>
      <c r="N371" s="63"/>
      <c r="O371" s="63"/>
      <c r="P371" s="66"/>
    </row>
    <row r="372" spans="1:16" ht="18" customHeight="1">
      <c r="A372" s="67"/>
      <c r="B372" s="68"/>
      <c r="C372" s="68"/>
      <c r="D372" s="68"/>
      <c r="E372" s="68"/>
      <c r="F372" s="68"/>
      <c r="G372" s="68"/>
      <c r="H372" s="68"/>
      <c r="I372" s="68"/>
      <c r="J372" s="68"/>
      <c r="K372" s="68"/>
      <c r="L372" s="68"/>
      <c r="M372" s="69"/>
      <c r="N372" s="69"/>
      <c r="O372" s="69"/>
      <c r="P372" s="70"/>
    </row>
    <row r="373" spans="1:16" ht="18" customHeight="1">
      <c r="A373" s="71">
        <v>3</v>
      </c>
      <c r="B373" s="72"/>
      <c r="C373" s="72" t="s">
        <v>141</v>
      </c>
      <c r="D373" s="72"/>
      <c r="E373" s="72"/>
      <c r="F373" s="72"/>
      <c r="G373" s="72"/>
      <c r="H373" s="72"/>
      <c r="I373" s="72"/>
      <c r="J373" s="72"/>
      <c r="K373" s="72"/>
      <c r="L373" s="72"/>
      <c r="M373" s="64"/>
      <c r="N373" s="64"/>
      <c r="O373" s="64"/>
      <c r="P373" s="65"/>
    </row>
    <row r="374" spans="1:16" ht="18" customHeight="1">
      <c r="A374" s="61"/>
      <c r="B374" s="62"/>
      <c r="C374" s="62"/>
      <c r="D374" s="62"/>
      <c r="E374" s="62"/>
      <c r="F374" s="62"/>
      <c r="G374" s="62"/>
      <c r="H374" s="62"/>
      <c r="I374" s="62"/>
      <c r="J374" s="62"/>
      <c r="K374" s="62"/>
      <c r="L374" s="62"/>
      <c r="M374" s="63"/>
      <c r="N374" s="63"/>
      <c r="O374" s="63"/>
      <c r="P374" s="66"/>
    </row>
    <row r="375" spans="1:16" ht="18" customHeight="1">
      <c r="A375" s="67"/>
      <c r="B375" s="68"/>
      <c r="C375" s="68"/>
      <c r="D375" s="68"/>
      <c r="E375" s="68"/>
      <c r="F375" s="68"/>
      <c r="G375" s="68"/>
      <c r="H375" s="68"/>
      <c r="I375" s="68"/>
      <c r="J375" s="68"/>
      <c r="K375" s="68"/>
      <c r="L375" s="68"/>
      <c r="M375" s="69"/>
      <c r="N375" s="69"/>
      <c r="O375" s="69"/>
      <c r="P375" s="70"/>
    </row>
    <row r="376" spans="1:16" ht="18" customHeight="1">
      <c r="A376" s="73"/>
      <c r="B376" s="73"/>
      <c r="C376" s="73"/>
      <c r="D376" s="73"/>
      <c r="E376" s="73"/>
      <c r="F376" s="73"/>
      <c r="G376" s="73"/>
      <c r="H376" s="73"/>
      <c r="I376" s="73"/>
      <c r="J376" s="62"/>
      <c r="K376" s="62"/>
      <c r="L376" s="73"/>
      <c r="M376" s="63"/>
      <c r="N376" s="63"/>
      <c r="O376" s="63"/>
      <c r="P376" s="74" t="s">
        <v>142</v>
      </c>
    </row>
    <row r="377" spans="1:16" ht="18" customHeight="1">
      <c r="A377" s="73"/>
      <c r="B377" s="73"/>
      <c r="C377" s="73"/>
      <c r="D377" s="73"/>
      <c r="E377" s="73"/>
      <c r="F377" s="73"/>
      <c r="G377" s="73"/>
      <c r="H377" s="73"/>
      <c r="I377" s="73"/>
      <c r="J377" s="75"/>
      <c r="K377" s="75"/>
      <c r="L377" s="73"/>
      <c r="M377" s="63"/>
      <c r="N377" s="63"/>
      <c r="O377" s="63"/>
      <c r="P377" s="76"/>
    </row>
    <row r="378" spans="1:16" ht="18" customHeight="1">
      <c r="A378" s="73"/>
      <c r="B378" s="73"/>
      <c r="C378" s="73"/>
      <c r="D378" s="73"/>
      <c r="E378" s="73"/>
      <c r="F378" s="73"/>
      <c r="G378" s="73"/>
      <c r="H378" s="73"/>
      <c r="I378" s="73"/>
      <c r="J378" s="75"/>
      <c r="K378" s="75"/>
      <c r="L378" s="73"/>
      <c r="M378" s="63"/>
      <c r="N378" s="63"/>
      <c r="O378" s="63"/>
      <c r="P378" s="77" t="s">
        <v>143</v>
      </c>
    </row>
    <row r="379" spans="1:16" ht="18" customHeight="1">
      <c r="A379" s="73"/>
      <c r="B379" s="73"/>
      <c r="C379" s="73"/>
      <c r="D379" s="73"/>
      <c r="E379" s="73"/>
      <c r="F379" s="73"/>
      <c r="G379" s="73"/>
      <c r="H379" s="73"/>
      <c r="I379" s="73"/>
      <c r="J379" s="78"/>
      <c r="K379" s="78"/>
      <c r="L379" s="73"/>
      <c r="M379" s="63"/>
      <c r="N379" s="63"/>
      <c r="O379" s="63"/>
      <c r="P379" s="79"/>
    </row>
    <row r="380" spans="1:16" ht="18" customHeight="1">
      <c r="A380" s="62"/>
      <c r="B380" s="62"/>
      <c r="C380" s="62"/>
      <c r="D380" s="62"/>
      <c r="E380" s="62"/>
      <c r="F380" s="63"/>
      <c r="G380" s="63"/>
      <c r="H380" s="63"/>
      <c r="I380" s="63"/>
      <c r="J380" s="63"/>
      <c r="K380" s="63"/>
      <c r="L380" s="63"/>
      <c r="M380" s="63"/>
      <c r="N380" s="63"/>
      <c r="O380" s="63"/>
      <c r="P380" s="63"/>
    </row>
    <row r="381" spans="1:16" ht="18" customHeight="1">
      <c r="A381" s="62" t="s">
        <v>282</v>
      </c>
      <c r="B381" s="62"/>
      <c r="C381" s="62"/>
      <c r="D381" s="62"/>
      <c r="E381" s="62"/>
      <c r="F381" s="63"/>
      <c r="G381" s="63"/>
      <c r="H381" s="63"/>
      <c r="I381" s="63"/>
      <c r="J381" s="63"/>
      <c r="K381" s="63"/>
      <c r="L381" s="63"/>
      <c r="M381" s="63"/>
      <c r="N381" s="63"/>
      <c r="O381" s="63"/>
      <c r="P381" s="63"/>
    </row>
    <row r="382" spans="1:16" ht="18" customHeight="1">
      <c r="A382" s="102" t="s">
        <v>93</v>
      </c>
      <c r="B382" s="58"/>
      <c r="C382" s="58"/>
      <c r="D382" s="58"/>
      <c r="E382" s="58"/>
      <c r="F382" s="58" t="s">
        <v>94</v>
      </c>
      <c r="G382" s="58"/>
      <c r="H382" s="58"/>
      <c r="I382" s="58"/>
      <c r="J382" s="58"/>
      <c r="K382" s="58"/>
      <c r="L382" s="58"/>
      <c r="M382" s="59"/>
      <c r="N382" s="59"/>
      <c r="O382" s="59"/>
      <c r="P382" s="60"/>
    </row>
    <row r="383" spans="1:16" ht="18" customHeight="1">
      <c r="A383" s="61">
        <v>1</v>
      </c>
      <c r="B383" s="62"/>
      <c r="C383" s="62" t="s">
        <v>144</v>
      </c>
      <c r="D383" s="62"/>
      <c r="E383" s="62"/>
      <c r="F383" s="62"/>
      <c r="G383" s="62"/>
      <c r="H383" s="62"/>
      <c r="I383" s="62"/>
      <c r="J383" s="62"/>
      <c r="K383" s="62"/>
      <c r="L383" s="62"/>
      <c r="M383" s="63"/>
      <c r="N383" s="63"/>
      <c r="O383" s="64"/>
      <c r="P383" s="65"/>
    </row>
    <row r="384" spans="1:16" ht="18" customHeight="1">
      <c r="A384" s="61"/>
      <c r="B384" s="62"/>
      <c r="C384" s="62"/>
      <c r="D384" s="62"/>
      <c r="E384" s="62"/>
      <c r="F384" s="62"/>
      <c r="G384" s="62"/>
      <c r="H384" s="62"/>
      <c r="I384" s="62"/>
      <c r="J384" s="62"/>
      <c r="K384" s="62"/>
      <c r="L384" s="62"/>
      <c r="M384" s="63"/>
      <c r="N384" s="63"/>
      <c r="O384" s="63"/>
      <c r="P384" s="66"/>
    </row>
    <row r="385" spans="1:16" ht="18" customHeight="1">
      <c r="A385" s="67"/>
      <c r="B385" s="68"/>
      <c r="C385" s="68"/>
      <c r="D385" s="68"/>
      <c r="E385" s="68"/>
      <c r="F385" s="68"/>
      <c r="G385" s="68"/>
      <c r="H385" s="68"/>
      <c r="I385" s="68"/>
      <c r="J385" s="68"/>
      <c r="K385" s="68"/>
      <c r="L385" s="68"/>
      <c r="M385" s="69"/>
      <c r="N385" s="69"/>
      <c r="O385" s="69"/>
      <c r="P385" s="70"/>
    </row>
    <row r="386" spans="1:16" ht="18" customHeight="1">
      <c r="A386" s="71">
        <v>2</v>
      </c>
      <c r="B386" s="72"/>
      <c r="C386" s="72" t="s">
        <v>145</v>
      </c>
      <c r="D386" s="72"/>
      <c r="E386" s="72"/>
      <c r="F386" s="72"/>
      <c r="G386" s="72"/>
      <c r="H386" s="72"/>
      <c r="I386" s="72"/>
      <c r="J386" s="72"/>
      <c r="K386" s="72"/>
      <c r="L386" s="72"/>
      <c r="M386" s="64"/>
      <c r="N386" s="64"/>
      <c r="O386" s="64"/>
      <c r="P386" s="65"/>
    </row>
    <row r="387" spans="1:16" ht="18" customHeight="1">
      <c r="A387" s="61"/>
      <c r="B387" s="62"/>
      <c r="C387" s="62"/>
      <c r="D387" s="62"/>
      <c r="E387" s="62"/>
      <c r="F387" s="62"/>
      <c r="G387" s="62"/>
      <c r="H387" s="62"/>
      <c r="I387" s="62"/>
      <c r="J387" s="62"/>
      <c r="K387" s="62"/>
      <c r="L387" s="62"/>
      <c r="M387" s="63"/>
      <c r="N387" s="63"/>
      <c r="O387" s="63"/>
      <c r="P387" s="66"/>
    </row>
    <row r="388" spans="1:16" ht="18" customHeight="1">
      <c r="A388" s="67"/>
      <c r="B388" s="68"/>
      <c r="C388" s="68"/>
      <c r="D388" s="68"/>
      <c r="E388" s="68"/>
      <c r="F388" s="68"/>
      <c r="G388" s="68"/>
      <c r="H388" s="68"/>
      <c r="I388" s="68"/>
      <c r="J388" s="68"/>
      <c r="K388" s="68"/>
      <c r="L388" s="68"/>
      <c r="M388" s="69"/>
      <c r="N388" s="69"/>
      <c r="O388" s="69"/>
      <c r="P388" s="70"/>
    </row>
    <row r="389" spans="1:16" ht="18" customHeight="1">
      <c r="A389" s="73"/>
      <c r="B389" s="73"/>
      <c r="C389" s="73"/>
      <c r="D389" s="73"/>
      <c r="E389" s="73"/>
      <c r="F389" s="73"/>
      <c r="G389" s="73"/>
      <c r="H389" s="73"/>
      <c r="I389" s="73"/>
      <c r="J389" s="62"/>
      <c r="K389" s="62"/>
      <c r="L389" s="73"/>
      <c r="M389" s="63"/>
      <c r="N389" s="63"/>
      <c r="O389" s="63"/>
      <c r="P389" s="74" t="s">
        <v>142</v>
      </c>
    </row>
    <row r="390" spans="1:16" ht="18" customHeight="1">
      <c r="A390" s="73"/>
      <c r="B390" s="73"/>
      <c r="C390" s="73"/>
      <c r="D390" s="73"/>
      <c r="E390" s="73"/>
      <c r="F390" s="73"/>
      <c r="G390" s="73"/>
      <c r="H390" s="73"/>
      <c r="I390" s="73"/>
      <c r="J390" s="75"/>
      <c r="K390" s="75"/>
      <c r="L390" s="73"/>
      <c r="M390" s="63"/>
      <c r="N390" s="63"/>
      <c r="O390" s="63"/>
      <c r="P390" s="76"/>
    </row>
    <row r="391" spans="1:16" ht="18" customHeight="1">
      <c r="A391" s="73"/>
      <c r="B391" s="73"/>
      <c r="C391" s="73"/>
      <c r="D391" s="73"/>
      <c r="E391" s="73"/>
      <c r="F391" s="73"/>
      <c r="G391" s="73"/>
      <c r="H391" s="73"/>
      <c r="I391" s="73"/>
      <c r="J391" s="75"/>
      <c r="K391" s="75"/>
      <c r="L391" s="73"/>
      <c r="M391" s="63"/>
      <c r="N391" s="63"/>
      <c r="O391" s="63"/>
      <c r="P391" s="77" t="s">
        <v>143</v>
      </c>
    </row>
    <row r="392" spans="1:16" ht="18" customHeight="1">
      <c r="A392" s="73"/>
      <c r="B392" s="73"/>
      <c r="C392" s="73"/>
      <c r="D392" s="73"/>
      <c r="E392" s="73"/>
      <c r="F392" s="73"/>
      <c r="G392" s="73"/>
      <c r="H392" s="73"/>
      <c r="I392" s="73"/>
      <c r="J392" s="78"/>
      <c r="K392" s="78"/>
      <c r="L392" s="73"/>
      <c r="M392" s="63"/>
      <c r="N392" s="63"/>
      <c r="O392" s="63"/>
      <c r="P392" s="77"/>
    </row>
    <row r="393" spans="1:16" ht="18" customHeight="1">
      <c r="A393" s="73"/>
      <c r="B393" s="73"/>
      <c r="C393" s="73"/>
      <c r="D393" s="73"/>
      <c r="E393" s="73"/>
      <c r="F393" s="73"/>
      <c r="G393" s="73"/>
      <c r="H393" s="73"/>
      <c r="I393" s="73"/>
      <c r="J393" s="75"/>
      <c r="K393" s="75"/>
      <c r="L393" s="73"/>
      <c r="M393" s="63"/>
      <c r="N393" s="63"/>
      <c r="O393" s="63"/>
      <c r="P393" s="64"/>
    </row>
    <row r="394" spans="1:16" ht="18" customHeight="1">
      <c r="A394" s="62" t="s">
        <v>95</v>
      </c>
      <c r="B394" s="62"/>
      <c r="C394" s="62"/>
      <c r="D394" s="62"/>
      <c r="E394" s="62"/>
      <c r="F394" s="63"/>
      <c r="G394" s="63"/>
      <c r="H394" s="63"/>
      <c r="I394" s="63"/>
      <c r="J394" s="63"/>
      <c r="K394" s="63"/>
      <c r="L394" s="63"/>
      <c r="M394" s="63"/>
      <c r="N394" s="63"/>
      <c r="O394" s="63"/>
      <c r="P394" s="63"/>
    </row>
    <row r="395" spans="1:16" ht="18" customHeight="1">
      <c r="A395" s="102" t="s">
        <v>93</v>
      </c>
      <c r="B395" s="58"/>
      <c r="C395" s="58"/>
      <c r="D395" s="58"/>
      <c r="E395" s="58"/>
      <c r="F395" s="58" t="s">
        <v>94</v>
      </c>
      <c r="G395" s="58"/>
      <c r="H395" s="58"/>
      <c r="I395" s="58"/>
      <c r="J395" s="58"/>
      <c r="K395" s="58"/>
      <c r="L395" s="58"/>
      <c r="M395" s="59"/>
      <c r="N395" s="59"/>
      <c r="O395" s="59"/>
      <c r="P395" s="60"/>
    </row>
    <row r="396" spans="1:16" ht="18" customHeight="1">
      <c r="A396" s="61">
        <v>1</v>
      </c>
      <c r="B396" s="62"/>
      <c r="C396" s="62" t="s">
        <v>146</v>
      </c>
      <c r="D396" s="62"/>
      <c r="E396" s="62"/>
      <c r="F396" s="62"/>
      <c r="G396" s="62"/>
      <c r="H396" s="62"/>
      <c r="I396" s="62"/>
      <c r="J396" s="62"/>
      <c r="K396" s="62"/>
      <c r="L396" s="62"/>
      <c r="M396" s="63"/>
      <c r="N396" s="63"/>
      <c r="O396" s="64"/>
      <c r="P396" s="65"/>
    </row>
    <row r="397" spans="1:16" ht="18" customHeight="1">
      <c r="A397" s="61"/>
      <c r="B397" s="62"/>
      <c r="C397" s="62"/>
      <c r="D397" s="62"/>
      <c r="E397" s="62"/>
      <c r="F397" s="62"/>
      <c r="G397" s="62"/>
      <c r="H397" s="62"/>
      <c r="I397" s="62"/>
      <c r="J397" s="62"/>
      <c r="K397" s="62"/>
      <c r="L397" s="62"/>
      <c r="M397" s="63"/>
      <c r="N397" s="63"/>
      <c r="O397" s="63"/>
      <c r="P397" s="66"/>
    </row>
    <row r="398" spans="1:16" ht="18" customHeight="1">
      <c r="A398" s="67"/>
      <c r="B398" s="68"/>
      <c r="C398" s="68"/>
      <c r="D398" s="68"/>
      <c r="E398" s="68"/>
      <c r="F398" s="68"/>
      <c r="G398" s="68"/>
      <c r="H398" s="68"/>
      <c r="I398" s="68"/>
      <c r="J398" s="68"/>
      <c r="K398" s="68"/>
      <c r="L398" s="68"/>
      <c r="M398" s="69"/>
      <c r="N398" s="69"/>
      <c r="O398" s="69"/>
      <c r="P398" s="70"/>
    </row>
    <row r="399" spans="1:16" ht="18" customHeight="1">
      <c r="A399" s="71">
        <v>2</v>
      </c>
      <c r="B399" s="72"/>
      <c r="C399" s="72" t="s">
        <v>147</v>
      </c>
      <c r="D399" s="72"/>
      <c r="E399" s="72"/>
      <c r="F399" s="72"/>
      <c r="G399" s="72"/>
      <c r="H399" s="72"/>
      <c r="I399" s="72"/>
      <c r="J399" s="72"/>
      <c r="K399" s="72"/>
      <c r="L399" s="72"/>
      <c r="M399" s="64"/>
      <c r="N399" s="64"/>
      <c r="O399" s="64"/>
      <c r="P399" s="65"/>
    </row>
    <row r="400" spans="1:16" ht="18" customHeight="1">
      <c r="A400" s="61"/>
      <c r="B400" s="62"/>
      <c r="C400" s="62"/>
      <c r="D400" s="62"/>
      <c r="E400" s="62"/>
      <c r="F400" s="62"/>
      <c r="G400" s="62"/>
      <c r="H400" s="62"/>
      <c r="I400" s="62"/>
      <c r="J400" s="62"/>
      <c r="K400" s="62"/>
      <c r="L400" s="62"/>
      <c r="M400" s="63"/>
      <c r="N400" s="63"/>
      <c r="O400" s="63"/>
      <c r="P400" s="66"/>
    </row>
    <row r="401" spans="1:16" ht="18" customHeight="1">
      <c r="A401" s="67"/>
      <c r="B401" s="68"/>
      <c r="C401" s="68"/>
      <c r="D401" s="68"/>
      <c r="E401" s="68"/>
      <c r="F401" s="68"/>
      <c r="G401" s="68"/>
      <c r="H401" s="68"/>
      <c r="I401" s="68"/>
      <c r="J401" s="68"/>
      <c r="K401" s="68"/>
      <c r="L401" s="68"/>
      <c r="M401" s="69"/>
      <c r="N401" s="69"/>
      <c r="O401" s="69"/>
      <c r="P401" s="70"/>
    </row>
    <row r="402" spans="1:16" ht="18" customHeight="1">
      <c r="A402" s="73"/>
      <c r="B402" s="73"/>
      <c r="C402" s="73"/>
      <c r="D402" s="73"/>
      <c r="E402" s="73"/>
      <c r="F402" s="73"/>
      <c r="G402" s="73"/>
      <c r="H402" s="73"/>
      <c r="I402" s="73"/>
      <c r="J402" s="62"/>
      <c r="K402" s="62"/>
      <c r="L402" s="73"/>
      <c r="M402" s="63"/>
      <c r="N402" s="63"/>
      <c r="O402" s="63"/>
      <c r="P402" s="74" t="s">
        <v>142</v>
      </c>
    </row>
    <row r="403" spans="1:16" ht="18" customHeight="1">
      <c r="A403" s="73"/>
      <c r="B403" s="73"/>
      <c r="C403" s="73"/>
      <c r="D403" s="73"/>
      <c r="E403" s="73"/>
      <c r="F403" s="73"/>
      <c r="G403" s="73"/>
      <c r="H403" s="73"/>
      <c r="I403" s="73"/>
      <c r="J403" s="75"/>
      <c r="K403" s="75"/>
      <c r="L403" s="73"/>
      <c r="M403" s="63"/>
      <c r="N403" s="63"/>
      <c r="O403" s="63"/>
      <c r="P403" s="76"/>
    </row>
    <row r="404" spans="1:16" ht="18" customHeight="1">
      <c r="A404" s="73"/>
      <c r="B404" s="73"/>
      <c r="C404" s="73"/>
      <c r="D404" s="73"/>
      <c r="E404" s="73"/>
      <c r="F404" s="73"/>
      <c r="G404" s="73"/>
      <c r="H404" s="73"/>
      <c r="I404" s="73"/>
      <c r="J404" s="78"/>
      <c r="K404" s="78"/>
      <c r="L404" s="73"/>
      <c r="M404" s="63"/>
      <c r="N404" s="63"/>
      <c r="O404" s="63"/>
      <c r="P404" s="77" t="s">
        <v>143</v>
      </c>
    </row>
    <row r="405" spans="1:16" ht="18" customHeight="1">
      <c r="A405" s="73"/>
      <c r="B405" s="73"/>
      <c r="C405" s="73"/>
      <c r="D405" s="73"/>
      <c r="E405" s="73"/>
      <c r="F405" s="73"/>
      <c r="G405" s="73"/>
      <c r="H405" s="73"/>
      <c r="I405" s="73"/>
      <c r="J405" s="78"/>
      <c r="K405" s="78"/>
      <c r="L405" s="73"/>
      <c r="M405" s="63"/>
      <c r="N405" s="63"/>
      <c r="O405" s="63"/>
      <c r="P405" s="77"/>
    </row>
    <row r="406" spans="1:16" ht="1.1499999999999999" customHeight="1">
      <c r="A406" s="73"/>
      <c r="B406" s="73"/>
      <c r="C406" s="73"/>
      <c r="D406" s="73"/>
      <c r="E406" s="73"/>
      <c r="F406" s="73"/>
      <c r="G406" s="73"/>
      <c r="H406" s="73"/>
      <c r="I406" s="73"/>
      <c r="J406" s="75"/>
      <c r="K406" s="75"/>
      <c r="L406" s="73"/>
      <c r="M406" s="63"/>
      <c r="N406" s="63"/>
      <c r="O406" s="63"/>
      <c r="P406" s="64"/>
    </row>
  </sheetData>
  <sheetProtection selectLockedCells="1"/>
  <mergeCells count="52">
    <mergeCell ref="M77:N77"/>
    <mergeCell ref="O77:P77"/>
    <mergeCell ref="A75:C75"/>
    <mergeCell ref="D75:I75"/>
    <mergeCell ref="J75:K75"/>
    <mergeCell ref="M75:N75"/>
    <mergeCell ref="O75:P75"/>
    <mergeCell ref="A76:C76"/>
    <mergeCell ref="D76:I76"/>
    <mergeCell ref="J76:K76"/>
    <mergeCell ref="M76:N76"/>
    <mergeCell ref="O76:P76"/>
    <mergeCell ref="A73:C73"/>
    <mergeCell ref="D73:I73"/>
    <mergeCell ref="J73:K73"/>
    <mergeCell ref="M73:N73"/>
    <mergeCell ref="O73:P73"/>
    <mergeCell ref="A74:C74"/>
    <mergeCell ref="D74:I74"/>
    <mergeCell ref="J74:K74"/>
    <mergeCell ref="M74:N74"/>
    <mergeCell ref="O74:P74"/>
    <mergeCell ref="A71:C71"/>
    <mergeCell ref="D71:I71"/>
    <mergeCell ref="J71:K71"/>
    <mergeCell ref="M71:N71"/>
    <mergeCell ref="O71:P71"/>
    <mergeCell ref="A72:C72"/>
    <mergeCell ref="D72:I72"/>
    <mergeCell ref="J72:K72"/>
    <mergeCell ref="M72:N72"/>
    <mergeCell ref="O72:P72"/>
    <mergeCell ref="A69:C69"/>
    <mergeCell ref="D69:I69"/>
    <mergeCell ref="J69:K69"/>
    <mergeCell ref="M69:N69"/>
    <mergeCell ref="O69:P69"/>
    <mergeCell ref="A70:C70"/>
    <mergeCell ref="D70:I70"/>
    <mergeCell ref="J70:K70"/>
    <mergeCell ref="M70:N70"/>
    <mergeCell ref="O70:P70"/>
    <mergeCell ref="A67:C67"/>
    <mergeCell ref="D67:I67"/>
    <mergeCell ref="J67:K67"/>
    <mergeCell ref="M67:N67"/>
    <mergeCell ref="O67:P67"/>
    <mergeCell ref="A68:C68"/>
    <mergeCell ref="D68:I68"/>
    <mergeCell ref="J68:K68"/>
    <mergeCell ref="M68:N68"/>
    <mergeCell ref="O68:P68"/>
  </mergeCells>
  <phoneticPr fontId="39"/>
  <printOptions horizontalCentered="1" verticalCentered="1"/>
  <pageMargins left="0" right="0" top="0.35433070866141736" bottom="0.55118110236220474" header="0.31496062992125984" footer="0.31496062992125984"/>
  <pageSetup paperSize="9" fitToHeight="0" orientation="portrait" r:id="rId1"/>
  <headerFooter>
    <oddFooter>&amp;C&amp;P</oddFooter>
  </headerFooter>
  <rowBreaks count="4" manualBreakCount="4">
    <brk id="59" max="16" man="1"/>
    <brk id="181" max="16" man="1"/>
    <brk id="244" max="16383" man="1"/>
    <brk id="361" max="16383" man="1"/>
  </rowBreaks>
  <colBreaks count="1" manualBreakCount="1">
    <brk id="15"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BBB68-D947-449B-B3CE-10BA5613D9B9}">
  <sheetPr codeName="Sheet8">
    <tabColor theme="1" tint="0.499984740745262"/>
    <pageSetUpPr fitToPage="1"/>
  </sheetPr>
  <dimension ref="A1:P406"/>
  <sheetViews>
    <sheetView view="pageBreakPreview" zoomScaleNormal="100" zoomScaleSheetLayoutView="100" workbookViewId="0">
      <selection activeCell="A11" sqref="A11:XFD11"/>
    </sheetView>
  </sheetViews>
  <sheetFormatPr defaultColWidth="9" defaultRowHeight="13"/>
  <cols>
    <col min="1" max="1" width="4.453125" customWidth="1"/>
    <col min="2" max="2" width="3.453125" customWidth="1"/>
    <col min="3" max="3" width="10.08984375" customWidth="1"/>
    <col min="4" max="4" width="5.08984375" customWidth="1"/>
    <col min="5" max="5" width="4.90625" customWidth="1"/>
    <col min="6" max="7" width="8.453125" customWidth="1"/>
    <col min="8" max="8" width="1.7265625" customWidth="1"/>
    <col min="9" max="9" width="3.453125" customWidth="1"/>
    <col min="10" max="10" width="7.453125" customWidth="1"/>
    <col min="11" max="11" width="1.90625" customWidth="1"/>
    <col min="12" max="12" width="6.26953125" customWidth="1"/>
    <col min="13" max="13" width="8.26953125" customWidth="1"/>
    <col min="14" max="14" width="2.453125" customWidth="1"/>
    <col min="15" max="15" width="3.08984375" customWidth="1"/>
    <col min="16" max="16" width="8.453125" customWidth="1"/>
    <col min="17" max="17" width="2.453125" customWidth="1"/>
  </cols>
  <sheetData>
    <row r="1" spans="1:16" ht="10.5" customHeight="1">
      <c r="P1" s="98" t="s">
        <v>337</v>
      </c>
    </row>
    <row r="2" spans="1:16" ht="21.75" customHeight="1">
      <c r="A2" s="1" t="s">
        <v>107</v>
      </c>
      <c r="B2" s="1"/>
      <c r="C2" s="1"/>
      <c r="D2" s="1"/>
      <c r="E2" s="1"/>
      <c r="F2" s="2"/>
      <c r="G2" s="2"/>
      <c r="H2" s="2"/>
      <c r="I2" s="2"/>
      <c r="J2" s="2"/>
      <c r="K2" s="2"/>
      <c r="L2" s="2"/>
      <c r="M2" s="2"/>
      <c r="N2" s="2"/>
      <c r="O2" s="2"/>
      <c r="P2" s="2"/>
    </row>
    <row r="3" spans="1:16" ht="10.5" customHeight="1">
      <c r="A3" s="3"/>
      <c r="B3" s="3"/>
      <c r="C3" s="3"/>
      <c r="D3" s="3"/>
      <c r="E3" s="3"/>
    </row>
    <row r="4" spans="1:16" ht="13.5" customHeight="1">
      <c r="A4" s="4" t="s">
        <v>0</v>
      </c>
      <c r="B4" s="4"/>
      <c r="C4" s="4"/>
      <c r="D4" s="4"/>
      <c r="E4" s="4"/>
    </row>
    <row r="5" spans="1:16" ht="13.5" customHeight="1">
      <c r="A5" s="4" t="s">
        <v>265</v>
      </c>
      <c r="B5" s="4"/>
      <c r="C5" s="4"/>
      <c r="D5" s="4"/>
      <c r="E5" s="4"/>
    </row>
    <row r="6" spans="1:16" ht="13.5" customHeight="1">
      <c r="A6" s="5" t="s">
        <v>266</v>
      </c>
      <c r="B6" s="5"/>
      <c r="C6" s="5"/>
      <c r="D6" s="5"/>
      <c r="E6" s="5"/>
    </row>
    <row r="7" spans="1:16" ht="13.5" customHeight="1">
      <c r="A7" s="5" t="s">
        <v>267</v>
      </c>
      <c r="B7" s="5"/>
      <c r="C7" s="5"/>
      <c r="D7" s="5"/>
      <c r="E7" s="5"/>
    </row>
    <row r="8" spans="1:16" ht="13.5" customHeight="1">
      <c r="A8" s="5"/>
      <c r="B8" s="5"/>
      <c r="C8" s="5"/>
      <c r="D8" s="5"/>
      <c r="E8" s="5"/>
    </row>
    <row r="9" spans="1:16" ht="13.5" customHeight="1">
      <c r="A9" s="4"/>
      <c r="B9" s="4"/>
      <c r="C9" s="4"/>
      <c r="D9" s="4"/>
      <c r="E9" s="4"/>
    </row>
    <row r="10" spans="1:16" ht="13.5" customHeight="1">
      <c r="A10" s="4" t="s">
        <v>1</v>
      </c>
      <c r="B10" s="4"/>
      <c r="C10" s="4"/>
      <c r="D10" s="4"/>
      <c r="E10" s="4"/>
    </row>
    <row r="11" spans="1:16" ht="13.5" customHeight="1">
      <c r="A11" s="4" t="s">
        <v>369</v>
      </c>
      <c r="B11" s="4"/>
      <c r="C11" s="4"/>
      <c r="D11" s="4"/>
      <c r="E11" s="4"/>
    </row>
    <row r="12" spans="1:16" ht="13.5" customHeight="1">
      <c r="A12" s="4" t="s">
        <v>153</v>
      </c>
      <c r="B12" s="4"/>
      <c r="C12" s="4"/>
      <c r="D12" s="4"/>
      <c r="E12" s="4"/>
    </row>
    <row r="13" spans="1:16" ht="13.5" customHeight="1">
      <c r="A13" s="6" t="s">
        <v>154</v>
      </c>
      <c r="B13" s="6"/>
      <c r="C13" s="6"/>
      <c r="D13" s="6"/>
      <c r="E13" s="6"/>
    </row>
    <row r="14" spans="1:16" ht="13.5" customHeight="1">
      <c r="A14" s="4" t="s">
        <v>155</v>
      </c>
      <c r="B14" s="4"/>
      <c r="C14" s="4"/>
      <c r="D14" s="4"/>
      <c r="E14" s="4"/>
    </row>
    <row r="15" spans="1:16" ht="13.5" customHeight="1">
      <c r="A15" s="4"/>
      <c r="B15" s="4"/>
      <c r="C15" s="4"/>
      <c r="D15" s="4"/>
      <c r="E15" s="4"/>
    </row>
    <row r="16" spans="1:16" ht="13.5" customHeight="1">
      <c r="A16" s="4"/>
      <c r="B16" s="4"/>
      <c r="C16" s="4"/>
      <c r="D16" s="4"/>
      <c r="E16" s="4"/>
    </row>
    <row r="17" spans="1:5" ht="13.5" customHeight="1">
      <c r="A17" s="4" t="s">
        <v>2</v>
      </c>
      <c r="B17" s="4"/>
      <c r="C17" s="4"/>
      <c r="D17" s="4"/>
      <c r="E17" s="4"/>
    </row>
    <row r="18" spans="1:5" ht="13.5" customHeight="1">
      <c r="A18" s="4" t="s">
        <v>268</v>
      </c>
      <c r="B18" s="4"/>
      <c r="C18" s="4"/>
      <c r="D18" s="4"/>
      <c r="E18" s="4"/>
    </row>
    <row r="19" spans="1:5" ht="13.5" customHeight="1">
      <c r="A19" s="4" t="s">
        <v>251</v>
      </c>
      <c r="B19" s="4"/>
      <c r="C19" s="4"/>
      <c r="D19" s="4"/>
      <c r="E19" s="4"/>
    </row>
    <row r="20" spans="1:5" ht="13.5" customHeight="1">
      <c r="A20" s="4" t="s">
        <v>252</v>
      </c>
      <c r="B20" s="4"/>
      <c r="C20" s="4"/>
      <c r="D20" s="4"/>
      <c r="E20" s="4"/>
    </row>
    <row r="21" spans="1:5" ht="13.5" customHeight="1">
      <c r="A21" s="4"/>
      <c r="B21" s="4"/>
      <c r="C21" s="4"/>
      <c r="D21" s="4"/>
      <c r="E21" s="4"/>
    </row>
    <row r="22" spans="1:5" ht="13.5" customHeight="1">
      <c r="A22" s="4"/>
      <c r="B22" s="4"/>
      <c r="C22" s="4"/>
      <c r="D22" s="4"/>
      <c r="E22" s="4"/>
    </row>
    <row r="23" spans="1:5" ht="13.5" customHeight="1">
      <c r="A23" s="4" t="s">
        <v>3</v>
      </c>
      <c r="B23" s="4"/>
      <c r="C23" s="4"/>
      <c r="D23" s="4"/>
      <c r="E23" s="4"/>
    </row>
    <row r="24" spans="1:5" ht="13.5" customHeight="1">
      <c r="A24" s="6" t="s">
        <v>156</v>
      </c>
      <c r="B24" s="6"/>
      <c r="C24" s="6"/>
      <c r="D24" s="6"/>
      <c r="E24" s="6"/>
    </row>
    <row r="25" spans="1:5" ht="13.5" customHeight="1">
      <c r="A25" s="6" t="s">
        <v>157</v>
      </c>
      <c r="B25" s="6"/>
      <c r="C25" s="6"/>
      <c r="D25" s="6"/>
      <c r="E25" s="6"/>
    </row>
    <row r="26" spans="1:5" ht="13.5" customHeight="1">
      <c r="A26" s="6" t="s">
        <v>158</v>
      </c>
      <c r="B26" s="6"/>
      <c r="C26" s="6"/>
      <c r="D26" s="6"/>
      <c r="E26" s="6"/>
    </row>
    <row r="27" spans="1:5" ht="13.5" customHeight="1">
      <c r="A27" s="4" t="s">
        <v>108</v>
      </c>
      <c r="B27" s="4"/>
      <c r="C27" s="4"/>
      <c r="D27" s="4"/>
      <c r="E27" s="4"/>
    </row>
    <row r="28" spans="1:5" ht="13.5" customHeight="1">
      <c r="A28" s="4" t="s">
        <v>159</v>
      </c>
      <c r="B28" s="4"/>
      <c r="C28" s="4"/>
      <c r="D28" s="4"/>
      <c r="E28" s="4"/>
    </row>
    <row r="29" spans="1:5" ht="13.5" customHeight="1">
      <c r="A29" s="4" t="s">
        <v>160</v>
      </c>
      <c r="B29" s="4"/>
      <c r="C29" s="4"/>
      <c r="D29" s="4"/>
      <c r="E29" s="4"/>
    </row>
    <row r="30" spans="1:5" ht="13.5" customHeight="1">
      <c r="A30" s="4" t="s">
        <v>161</v>
      </c>
      <c r="B30" s="4"/>
      <c r="C30" s="4"/>
      <c r="D30" s="4"/>
      <c r="E30" s="4"/>
    </row>
    <row r="31" spans="1:5" ht="13.5" customHeight="1">
      <c r="A31" s="4" t="s">
        <v>162</v>
      </c>
      <c r="B31" s="4"/>
      <c r="C31" s="4"/>
      <c r="D31" s="4"/>
      <c r="E31" s="4"/>
    </row>
    <row r="32" spans="1:5" ht="13.5" customHeight="1">
      <c r="A32" s="4" t="s">
        <v>109</v>
      </c>
      <c r="B32" s="4"/>
      <c r="C32" s="4"/>
      <c r="D32" s="4"/>
      <c r="E32" s="4"/>
    </row>
    <row r="33" spans="1:5" ht="13.5" customHeight="1">
      <c r="A33" s="4"/>
      <c r="B33" s="4"/>
      <c r="C33" s="4"/>
      <c r="D33" s="4"/>
      <c r="E33" s="4"/>
    </row>
    <row r="34" spans="1:5" ht="13.5" customHeight="1">
      <c r="A34" s="4"/>
      <c r="B34" s="4"/>
      <c r="C34" s="4"/>
      <c r="D34" s="4"/>
      <c r="E34" s="4"/>
    </row>
    <row r="35" spans="1:5" ht="13.5" customHeight="1">
      <c r="A35" s="4" t="s">
        <v>4</v>
      </c>
      <c r="B35" s="4"/>
      <c r="C35" s="4"/>
      <c r="D35" s="4"/>
      <c r="E35" s="4"/>
    </row>
    <row r="36" spans="1:5" ht="13.5" customHeight="1">
      <c r="A36" s="4" t="s">
        <v>269</v>
      </c>
      <c r="B36" s="4"/>
      <c r="C36" s="4"/>
      <c r="D36" s="4"/>
      <c r="E36" s="4"/>
    </row>
    <row r="37" spans="1:5" ht="13.5" customHeight="1">
      <c r="A37" s="4" t="s">
        <v>163</v>
      </c>
      <c r="B37" s="4"/>
      <c r="C37" s="4"/>
      <c r="D37" s="4"/>
      <c r="E37" s="4"/>
    </row>
    <row r="38" spans="1:5" ht="13.5" customHeight="1">
      <c r="A38" s="4" t="s">
        <v>109</v>
      </c>
      <c r="B38" s="4"/>
      <c r="C38" s="4"/>
      <c r="D38" s="4"/>
      <c r="E38" s="4"/>
    </row>
    <row r="39" spans="1:5" ht="13.5" customHeight="1">
      <c r="A39" s="4" t="s">
        <v>166</v>
      </c>
      <c r="B39" s="4"/>
      <c r="C39" s="4"/>
      <c r="D39" s="4"/>
      <c r="E39" s="4"/>
    </row>
    <row r="40" spans="1:5" ht="13.5" customHeight="1">
      <c r="A40" s="4" t="s">
        <v>109</v>
      </c>
      <c r="B40" s="4"/>
      <c r="C40" s="4"/>
      <c r="D40" s="4"/>
      <c r="E40" s="4"/>
    </row>
    <row r="41" spans="1:5" ht="13.5" customHeight="1">
      <c r="A41" s="4" t="s">
        <v>167</v>
      </c>
      <c r="B41" s="4"/>
      <c r="C41" s="4"/>
      <c r="D41" s="4"/>
      <c r="E41" s="4"/>
    </row>
    <row r="42" spans="1:5" ht="13.5" customHeight="1">
      <c r="A42" s="4" t="s">
        <v>168</v>
      </c>
      <c r="B42" s="4"/>
      <c r="C42" s="4"/>
      <c r="D42" s="4"/>
      <c r="E42" s="4"/>
    </row>
    <row r="43" spans="1:5" ht="13.5" customHeight="1">
      <c r="A43" s="4" t="s">
        <v>169</v>
      </c>
      <c r="B43" s="4"/>
      <c r="C43" s="4"/>
      <c r="D43" s="4"/>
      <c r="E43" s="4"/>
    </row>
    <row r="44" spans="1:5" ht="13.5" customHeight="1">
      <c r="A44" s="4" t="s">
        <v>170</v>
      </c>
      <c r="B44" s="4"/>
      <c r="C44" s="4"/>
      <c r="D44" s="4"/>
      <c r="E44" s="4"/>
    </row>
    <row r="45" spans="1:5" ht="13.5" customHeight="1">
      <c r="A45" s="4"/>
      <c r="B45" s="4"/>
      <c r="C45" s="4"/>
      <c r="D45" s="4"/>
      <c r="E45" s="4"/>
    </row>
    <row r="46" spans="1:5" ht="13.5" customHeight="1">
      <c r="A46" s="4"/>
      <c r="B46" s="4"/>
      <c r="C46" s="4"/>
      <c r="D46" s="4"/>
      <c r="E46" s="4"/>
    </row>
    <row r="47" spans="1:5" ht="13.5" customHeight="1">
      <c r="A47" s="4" t="s">
        <v>5</v>
      </c>
      <c r="B47" s="4"/>
      <c r="C47" s="4"/>
      <c r="D47" s="4"/>
      <c r="E47" s="4"/>
    </row>
    <row r="48" spans="1:5" ht="13.5" customHeight="1">
      <c r="A48" s="4" t="s">
        <v>270</v>
      </c>
      <c r="B48" s="4"/>
      <c r="C48" s="4"/>
      <c r="D48" s="4"/>
      <c r="E48" s="4"/>
    </row>
    <row r="49" spans="1:5" ht="13.5" customHeight="1">
      <c r="A49" s="4" t="s">
        <v>271</v>
      </c>
      <c r="B49" s="4"/>
      <c r="C49" s="4"/>
      <c r="D49" s="4"/>
      <c r="E49" s="4"/>
    </row>
    <row r="50" spans="1:5" ht="13.5" customHeight="1">
      <c r="A50" s="4" t="s">
        <v>164</v>
      </c>
      <c r="B50" s="4"/>
      <c r="C50" s="4"/>
      <c r="D50" s="4"/>
      <c r="E50" s="4"/>
    </row>
    <row r="51" spans="1:5" ht="13.5" customHeight="1">
      <c r="A51" s="4" t="s">
        <v>110</v>
      </c>
      <c r="B51" s="4"/>
      <c r="C51" s="4"/>
      <c r="D51" s="4"/>
      <c r="E51" s="4"/>
    </row>
    <row r="52" spans="1:5" ht="13.5" customHeight="1">
      <c r="A52" s="4"/>
      <c r="B52" s="4"/>
      <c r="C52" s="4"/>
      <c r="D52" s="4"/>
      <c r="E52" s="4"/>
    </row>
    <row r="53" spans="1:5" ht="13.5" customHeight="1">
      <c r="A53" s="4"/>
      <c r="B53" s="4"/>
      <c r="C53" s="4"/>
      <c r="D53" s="4"/>
      <c r="E53" s="4"/>
    </row>
    <row r="54" spans="1:5" ht="13.5" customHeight="1">
      <c r="A54" s="4" t="s">
        <v>6</v>
      </c>
      <c r="B54" s="4"/>
      <c r="C54" s="4"/>
      <c r="D54" s="4"/>
      <c r="E54" s="4"/>
    </row>
    <row r="55" spans="1:5" ht="13.5" customHeight="1">
      <c r="A55" s="4" t="s">
        <v>330</v>
      </c>
      <c r="B55" s="4"/>
      <c r="C55" s="4"/>
      <c r="D55" s="4"/>
      <c r="E55" s="4"/>
    </row>
    <row r="56" spans="1:5" ht="13.5" customHeight="1">
      <c r="A56" s="4" t="s">
        <v>336</v>
      </c>
      <c r="B56" s="4"/>
      <c r="C56" s="4"/>
      <c r="D56" s="4"/>
      <c r="E56" s="4"/>
    </row>
    <row r="57" spans="1:5" ht="13.5" customHeight="1">
      <c r="A57" s="4" t="s">
        <v>111</v>
      </c>
      <c r="B57" s="4"/>
      <c r="C57" s="4"/>
      <c r="D57" s="4"/>
      <c r="E57" s="4"/>
    </row>
    <row r="58" spans="1:5" ht="13.5" customHeight="1">
      <c r="A58" s="4" t="s">
        <v>338</v>
      </c>
      <c r="B58" s="4"/>
      <c r="C58" s="4"/>
      <c r="D58" s="4"/>
      <c r="E58" s="4"/>
    </row>
    <row r="59" spans="1:5" ht="13.5" customHeight="1">
      <c r="A59" s="4" t="s">
        <v>280</v>
      </c>
      <c r="B59" s="4"/>
      <c r="C59" s="4"/>
      <c r="D59" s="4"/>
      <c r="E59" s="4"/>
    </row>
    <row r="60" spans="1:5" ht="13.5" customHeight="1">
      <c r="A60" s="4" t="s">
        <v>281</v>
      </c>
      <c r="B60" s="4"/>
      <c r="C60" s="4"/>
      <c r="D60" s="4"/>
      <c r="E60" s="4"/>
    </row>
    <row r="61" spans="1:5" ht="13.5" customHeight="1">
      <c r="A61" s="4" t="s">
        <v>165</v>
      </c>
      <c r="B61" s="4"/>
      <c r="C61" s="4"/>
      <c r="D61" s="4"/>
      <c r="E61" s="4"/>
    </row>
    <row r="62" spans="1:5" ht="13.5" customHeight="1">
      <c r="A62" s="4" t="s">
        <v>335</v>
      </c>
      <c r="B62" s="4"/>
      <c r="C62" s="4"/>
      <c r="D62" s="4"/>
      <c r="E62" s="4"/>
    </row>
    <row r="63" spans="1:5" ht="13.5" customHeight="1">
      <c r="A63" s="4" t="s">
        <v>272</v>
      </c>
      <c r="B63" s="4"/>
      <c r="C63" s="4"/>
      <c r="D63" s="4"/>
      <c r="E63" s="4"/>
    </row>
    <row r="64" spans="1:5">
      <c r="A64" s="104" t="s">
        <v>329</v>
      </c>
      <c r="B64" s="4"/>
      <c r="C64" s="4"/>
      <c r="D64" s="4"/>
      <c r="E64" s="4"/>
    </row>
    <row r="65" spans="1:16">
      <c r="A65" s="4" t="s">
        <v>334</v>
      </c>
      <c r="B65" s="4"/>
      <c r="C65" s="4"/>
      <c r="D65" s="4"/>
      <c r="E65" s="4"/>
    </row>
    <row r="66" spans="1:16" ht="16.75" customHeight="1">
      <c r="A66" s="10" t="s">
        <v>7</v>
      </c>
      <c r="B66" s="11"/>
      <c r="C66" s="11"/>
      <c r="D66" s="28" t="s">
        <v>138</v>
      </c>
      <c r="E66" s="11"/>
      <c r="F66" s="11"/>
      <c r="G66" s="11"/>
      <c r="H66" s="11"/>
      <c r="I66" s="29"/>
      <c r="J66" s="92" t="s">
        <v>8</v>
      </c>
      <c r="K66" s="93"/>
      <c r="L66" s="94" t="s">
        <v>9</v>
      </c>
      <c r="M66" s="92" t="s">
        <v>10</v>
      </c>
      <c r="N66" s="93"/>
      <c r="O66" s="109" t="s">
        <v>11</v>
      </c>
      <c r="P66" s="110"/>
    </row>
    <row r="67" spans="1:16" s="97" customFormat="1" ht="16.75" customHeight="1">
      <c r="A67" s="161"/>
      <c r="B67" s="162"/>
      <c r="C67" s="163"/>
      <c r="D67" s="164"/>
      <c r="E67" s="165"/>
      <c r="F67" s="165"/>
      <c r="G67" s="165"/>
      <c r="H67" s="165"/>
      <c r="I67" s="166"/>
      <c r="J67" s="158"/>
      <c r="K67" s="159"/>
      <c r="L67" s="111"/>
      <c r="M67" s="158"/>
      <c r="N67" s="159"/>
      <c r="O67" s="158"/>
      <c r="P67" s="160"/>
    </row>
    <row r="68" spans="1:16" s="97" customFormat="1" ht="16.75" customHeight="1">
      <c r="A68" s="161"/>
      <c r="B68" s="162"/>
      <c r="C68" s="163"/>
      <c r="D68" s="164"/>
      <c r="E68" s="165"/>
      <c r="F68" s="165"/>
      <c r="G68" s="165"/>
      <c r="H68" s="165"/>
      <c r="I68" s="166"/>
      <c r="J68" s="158"/>
      <c r="K68" s="159"/>
      <c r="L68" s="111"/>
      <c r="M68" s="158"/>
      <c r="N68" s="159"/>
      <c r="O68" s="158"/>
      <c r="P68" s="160"/>
    </row>
    <row r="69" spans="1:16" s="97" customFormat="1" ht="16.75" customHeight="1">
      <c r="A69" s="161"/>
      <c r="B69" s="162"/>
      <c r="C69" s="163"/>
      <c r="D69" s="164"/>
      <c r="E69" s="165"/>
      <c r="F69" s="165"/>
      <c r="G69" s="165"/>
      <c r="H69" s="165"/>
      <c r="I69" s="166"/>
      <c r="J69" s="158"/>
      <c r="K69" s="159"/>
      <c r="L69" s="111"/>
      <c r="M69" s="158"/>
      <c r="N69" s="159"/>
      <c r="O69" s="158"/>
      <c r="P69" s="160"/>
    </row>
    <row r="70" spans="1:16" s="97" customFormat="1" ht="16.75" customHeight="1">
      <c r="A70" s="161"/>
      <c r="B70" s="162"/>
      <c r="C70" s="163"/>
      <c r="D70" s="164"/>
      <c r="E70" s="165"/>
      <c r="F70" s="165"/>
      <c r="G70" s="165"/>
      <c r="H70" s="165"/>
      <c r="I70" s="166"/>
      <c r="J70" s="158"/>
      <c r="K70" s="159"/>
      <c r="L70" s="111"/>
      <c r="M70" s="158"/>
      <c r="N70" s="159"/>
      <c r="O70" s="158"/>
      <c r="P70" s="160"/>
    </row>
    <row r="71" spans="1:16" s="97" customFormat="1" ht="16.75" customHeight="1">
      <c r="A71" s="161"/>
      <c r="B71" s="162"/>
      <c r="C71" s="163"/>
      <c r="D71" s="164"/>
      <c r="E71" s="165"/>
      <c r="F71" s="165"/>
      <c r="G71" s="165"/>
      <c r="H71" s="165"/>
      <c r="I71" s="166"/>
      <c r="J71" s="158"/>
      <c r="K71" s="159"/>
      <c r="L71" s="111"/>
      <c r="M71" s="158"/>
      <c r="N71" s="159"/>
      <c r="O71" s="158"/>
      <c r="P71" s="160"/>
    </row>
    <row r="72" spans="1:16" s="97" customFormat="1" ht="16.75" customHeight="1">
      <c r="A72" s="161"/>
      <c r="B72" s="162"/>
      <c r="C72" s="163"/>
      <c r="D72" s="164"/>
      <c r="E72" s="165"/>
      <c r="F72" s="165"/>
      <c r="G72" s="165"/>
      <c r="H72" s="165"/>
      <c r="I72" s="166"/>
      <c r="J72" s="158"/>
      <c r="K72" s="159"/>
      <c r="L72" s="111"/>
      <c r="M72" s="158"/>
      <c r="N72" s="159"/>
      <c r="O72" s="158"/>
      <c r="P72" s="160"/>
    </row>
    <row r="73" spans="1:16" s="97" customFormat="1" ht="16.75" customHeight="1">
      <c r="A73" s="161"/>
      <c r="B73" s="162"/>
      <c r="C73" s="163"/>
      <c r="D73" s="164"/>
      <c r="E73" s="165"/>
      <c r="F73" s="165"/>
      <c r="G73" s="165"/>
      <c r="H73" s="165"/>
      <c r="I73" s="166"/>
      <c r="J73" s="158"/>
      <c r="K73" s="159"/>
      <c r="L73" s="111"/>
      <c r="M73" s="158"/>
      <c r="N73" s="159"/>
      <c r="O73" s="158"/>
      <c r="P73" s="160"/>
    </row>
    <row r="74" spans="1:16" s="97" customFormat="1" ht="16.75" customHeight="1">
      <c r="A74" s="161"/>
      <c r="B74" s="162"/>
      <c r="C74" s="163"/>
      <c r="D74" s="164"/>
      <c r="E74" s="165"/>
      <c r="F74" s="165"/>
      <c r="G74" s="165"/>
      <c r="H74" s="165"/>
      <c r="I74" s="166"/>
      <c r="J74" s="158"/>
      <c r="K74" s="159"/>
      <c r="L74" s="111"/>
      <c r="M74" s="158"/>
      <c r="N74" s="159"/>
      <c r="O74" s="158"/>
      <c r="P74" s="160"/>
    </row>
    <row r="75" spans="1:16" s="97" customFormat="1" ht="16.75" customHeight="1">
      <c r="A75" s="161"/>
      <c r="B75" s="162"/>
      <c r="C75" s="163"/>
      <c r="D75" s="164"/>
      <c r="E75" s="165"/>
      <c r="F75" s="165"/>
      <c r="G75" s="165"/>
      <c r="H75" s="165"/>
      <c r="I75" s="166"/>
      <c r="J75" s="158"/>
      <c r="K75" s="159"/>
      <c r="L75" s="111"/>
      <c r="M75" s="158"/>
      <c r="N75" s="159"/>
      <c r="O75" s="158"/>
      <c r="P75" s="160"/>
    </row>
    <row r="76" spans="1:16" s="97" customFormat="1" ht="16.75" customHeight="1" thickBot="1">
      <c r="A76" s="184"/>
      <c r="B76" s="185"/>
      <c r="C76" s="186"/>
      <c r="D76" s="181"/>
      <c r="E76" s="182"/>
      <c r="F76" s="182"/>
      <c r="G76" s="182"/>
      <c r="H76" s="182"/>
      <c r="I76" s="183"/>
      <c r="J76" s="190"/>
      <c r="K76" s="191"/>
      <c r="L76" s="112"/>
      <c r="M76" s="190"/>
      <c r="N76" s="191"/>
      <c r="O76" s="190"/>
      <c r="P76" s="192"/>
    </row>
    <row r="77" spans="1:16" ht="16.75" customHeight="1" thickTop="1">
      <c r="A77" s="95" t="s">
        <v>14</v>
      </c>
      <c r="B77" s="96"/>
      <c r="C77" s="96"/>
      <c r="D77" s="96"/>
      <c r="E77" s="96"/>
      <c r="F77" s="96"/>
      <c r="G77" s="96"/>
      <c r="H77" s="96"/>
      <c r="I77" s="96"/>
      <c r="J77" s="96"/>
      <c r="K77" s="96"/>
      <c r="L77" s="96"/>
      <c r="M77" s="147"/>
      <c r="N77" s="148"/>
      <c r="O77" s="147"/>
      <c r="P77" s="149"/>
    </row>
    <row r="78" spans="1:16" ht="13.5" customHeight="1">
      <c r="A78" s="4" t="s">
        <v>176</v>
      </c>
      <c r="B78" s="4"/>
      <c r="C78" s="4"/>
      <c r="D78" s="4"/>
      <c r="E78" s="4"/>
    </row>
    <row r="79" spans="1:16">
      <c r="A79" s="4" t="s">
        <v>177</v>
      </c>
      <c r="B79" s="4"/>
      <c r="C79" s="4"/>
      <c r="D79" s="4"/>
      <c r="E79" s="4"/>
    </row>
    <row r="80" spans="1:16">
      <c r="A80" s="4" t="s">
        <v>171</v>
      </c>
      <c r="B80" s="4"/>
      <c r="C80" s="4"/>
      <c r="D80" s="4"/>
      <c r="E80" s="4"/>
    </row>
    <row r="81" spans="1:5">
      <c r="A81" s="4" t="s">
        <v>344</v>
      </c>
      <c r="B81" s="4"/>
      <c r="C81" s="4"/>
      <c r="D81" s="4"/>
      <c r="E81" s="4"/>
    </row>
    <row r="82" spans="1:5">
      <c r="A82" s="4" t="s">
        <v>345</v>
      </c>
      <c r="B82" s="4"/>
      <c r="C82" s="4"/>
      <c r="D82" s="4"/>
      <c r="E82" s="4"/>
    </row>
    <row r="83" spans="1:5">
      <c r="A83" s="3"/>
      <c r="B83" s="3"/>
      <c r="C83" s="3"/>
      <c r="D83" s="3"/>
      <c r="E83" s="3"/>
    </row>
    <row r="84" spans="1:5">
      <c r="A84" s="3"/>
      <c r="B84" s="3"/>
      <c r="C84" s="3"/>
      <c r="D84" s="3"/>
      <c r="E84" s="3"/>
    </row>
    <row r="85" spans="1:5">
      <c r="A85" s="4" t="s">
        <v>15</v>
      </c>
      <c r="B85" s="4"/>
      <c r="C85" s="4"/>
      <c r="D85" s="4"/>
      <c r="E85" s="4"/>
    </row>
    <row r="86" spans="1:5">
      <c r="A86" s="4" t="s">
        <v>178</v>
      </c>
      <c r="B86" s="4"/>
      <c r="C86" s="4"/>
      <c r="D86" s="4"/>
      <c r="E86" s="4"/>
    </row>
    <row r="87" spans="1:5">
      <c r="A87" s="4" t="s">
        <v>179</v>
      </c>
      <c r="B87" s="4"/>
      <c r="C87" s="4"/>
      <c r="D87" s="4"/>
      <c r="E87" s="4"/>
    </row>
    <row r="88" spans="1:5">
      <c r="A88" s="4" t="s">
        <v>172</v>
      </c>
      <c r="B88" s="4"/>
      <c r="C88" s="4"/>
      <c r="D88" s="4"/>
      <c r="E88" s="4"/>
    </row>
    <row r="89" spans="1:5">
      <c r="A89" s="4" t="s">
        <v>173</v>
      </c>
      <c r="B89" s="4"/>
      <c r="C89" s="4"/>
      <c r="D89" s="4"/>
      <c r="E89" s="4"/>
    </row>
    <row r="90" spans="1:5">
      <c r="A90" s="4" t="s">
        <v>16</v>
      </c>
      <c r="B90" s="4"/>
      <c r="C90" s="4"/>
      <c r="D90" s="4"/>
      <c r="E90" s="4"/>
    </row>
    <row r="91" spans="1:5">
      <c r="A91" s="3"/>
      <c r="B91" s="3"/>
      <c r="C91" s="3"/>
      <c r="D91" s="3"/>
      <c r="E91" s="3"/>
    </row>
    <row r="92" spans="1:5">
      <c r="A92" s="3"/>
      <c r="B92" s="3"/>
      <c r="C92" s="3"/>
      <c r="D92" s="3"/>
      <c r="E92" s="3"/>
    </row>
    <row r="93" spans="1:5">
      <c r="A93" s="4" t="s">
        <v>17</v>
      </c>
      <c r="B93" s="4"/>
      <c r="C93" s="4"/>
      <c r="D93" s="4"/>
      <c r="E93" s="4"/>
    </row>
    <row r="94" spans="1:5">
      <c r="A94" s="4" t="s">
        <v>180</v>
      </c>
      <c r="B94" s="4"/>
      <c r="C94" s="4"/>
      <c r="D94" s="4"/>
      <c r="E94" s="4"/>
    </row>
    <row r="95" spans="1:5">
      <c r="A95" s="4" t="s">
        <v>181</v>
      </c>
      <c r="B95" s="4"/>
      <c r="C95" s="4"/>
      <c r="D95" s="4"/>
      <c r="E95" s="4"/>
    </row>
    <row r="96" spans="1:5">
      <c r="A96" s="4" t="s">
        <v>182</v>
      </c>
      <c r="B96" s="4"/>
      <c r="C96" s="4"/>
      <c r="D96" s="4"/>
      <c r="E96" s="4"/>
    </row>
    <row r="97" spans="1:5">
      <c r="A97" s="4" t="s">
        <v>109</v>
      </c>
      <c r="B97" s="4"/>
      <c r="C97" s="4"/>
      <c r="D97" s="4"/>
      <c r="E97" s="4"/>
    </row>
    <row r="98" spans="1:5">
      <c r="A98" s="4" t="s">
        <v>183</v>
      </c>
      <c r="B98" s="4"/>
      <c r="C98" s="4"/>
      <c r="D98" s="4"/>
      <c r="E98" s="4"/>
    </row>
    <row r="99" spans="1:5">
      <c r="A99" s="4" t="s">
        <v>184</v>
      </c>
      <c r="B99" s="4"/>
      <c r="C99" s="4"/>
      <c r="D99" s="4"/>
      <c r="E99" s="4"/>
    </row>
    <row r="100" spans="1:5">
      <c r="A100" s="4"/>
      <c r="B100" s="4"/>
      <c r="C100" s="4"/>
      <c r="D100" s="4"/>
      <c r="E100" s="4"/>
    </row>
    <row r="101" spans="1:5">
      <c r="A101" s="4"/>
      <c r="B101" s="4"/>
      <c r="C101" s="4"/>
      <c r="D101" s="4"/>
      <c r="E101" s="4"/>
    </row>
    <row r="102" spans="1:5">
      <c r="A102" s="4" t="s">
        <v>18</v>
      </c>
      <c r="B102" s="4"/>
      <c r="C102" s="4"/>
      <c r="D102" s="4"/>
      <c r="E102" s="4"/>
    </row>
    <row r="103" spans="1:5">
      <c r="A103" s="4" t="s">
        <v>253</v>
      </c>
      <c r="B103" s="4"/>
      <c r="C103" s="4"/>
      <c r="D103" s="4"/>
      <c r="E103" s="4"/>
    </row>
    <row r="104" spans="1:5">
      <c r="A104" s="4" t="s">
        <v>254</v>
      </c>
      <c r="B104" s="4"/>
      <c r="C104" s="4"/>
      <c r="D104" s="4"/>
      <c r="E104" s="4"/>
    </row>
    <row r="105" spans="1:5">
      <c r="A105" s="4" t="s">
        <v>214</v>
      </c>
      <c r="B105" s="4"/>
      <c r="C105" s="4"/>
      <c r="D105" s="4"/>
      <c r="E105" s="4"/>
    </row>
    <row r="106" spans="1:5">
      <c r="A106" s="4" t="s">
        <v>215</v>
      </c>
      <c r="B106" s="4"/>
      <c r="C106" s="4"/>
      <c r="D106" s="4"/>
      <c r="E106" s="4"/>
    </row>
    <row r="107" spans="1:5">
      <c r="A107" s="4" t="s">
        <v>216</v>
      </c>
      <c r="B107" s="4"/>
      <c r="C107" s="4"/>
      <c r="D107" s="4"/>
      <c r="E107" s="4"/>
    </row>
    <row r="108" spans="1:5">
      <c r="A108" s="4" t="s">
        <v>19</v>
      </c>
      <c r="B108" s="4"/>
      <c r="C108" s="4"/>
      <c r="D108" s="4"/>
      <c r="E108" s="4"/>
    </row>
    <row r="109" spans="1:5">
      <c r="A109" s="4" t="s">
        <v>112</v>
      </c>
      <c r="B109" s="4"/>
      <c r="C109" s="4"/>
      <c r="D109" s="4"/>
      <c r="E109" s="4"/>
    </row>
    <row r="110" spans="1:5">
      <c r="A110" s="4" t="s">
        <v>113</v>
      </c>
      <c r="B110" s="4"/>
      <c r="C110" s="4"/>
      <c r="D110" s="4"/>
      <c r="E110" s="4"/>
    </row>
    <row r="111" spans="1:5">
      <c r="A111" s="4" t="s">
        <v>114</v>
      </c>
      <c r="B111" s="4"/>
      <c r="C111" s="4"/>
      <c r="D111" s="4"/>
      <c r="E111" s="4"/>
    </row>
    <row r="112" spans="1:5">
      <c r="A112" s="4" t="s">
        <v>115</v>
      </c>
      <c r="B112" s="4"/>
      <c r="C112" s="4"/>
      <c r="D112" s="4"/>
      <c r="E112" s="4"/>
    </row>
    <row r="113" spans="1:5">
      <c r="A113" s="4" t="s">
        <v>20</v>
      </c>
      <c r="B113" s="4"/>
      <c r="C113" s="4"/>
      <c r="D113" s="4"/>
      <c r="E113" s="4"/>
    </row>
    <row r="114" spans="1:5">
      <c r="A114" s="4" t="s">
        <v>217</v>
      </c>
      <c r="B114" s="4"/>
      <c r="C114" s="4"/>
      <c r="D114" s="4"/>
      <c r="E114" s="4"/>
    </row>
    <row r="115" spans="1:5">
      <c r="A115" s="4" t="s">
        <v>218</v>
      </c>
      <c r="B115" s="4"/>
      <c r="C115" s="4"/>
      <c r="D115" s="4"/>
      <c r="E115" s="4"/>
    </row>
    <row r="116" spans="1:5">
      <c r="A116" s="4" t="s">
        <v>219</v>
      </c>
      <c r="B116" s="4"/>
      <c r="C116" s="4"/>
      <c r="D116" s="4"/>
      <c r="E116" s="4"/>
    </row>
    <row r="117" spans="1:5">
      <c r="A117" s="4" t="s">
        <v>220</v>
      </c>
      <c r="B117" s="4"/>
      <c r="C117" s="4"/>
      <c r="D117" s="4"/>
      <c r="E117" s="4"/>
    </row>
    <row r="118" spans="1:5">
      <c r="A118" s="4" t="s">
        <v>21</v>
      </c>
      <c r="B118" s="4"/>
      <c r="C118" s="4"/>
      <c r="D118" s="4"/>
      <c r="E118" s="4"/>
    </row>
    <row r="119" spans="1:5">
      <c r="A119" s="4" t="s">
        <v>116</v>
      </c>
      <c r="B119" s="4"/>
      <c r="C119" s="4"/>
      <c r="D119" s="4"/>
      <c r="E119" s="4"/>
    </row>
    <row r="120" spans="1:5">
      <c r="A120" s="4" t="s">
        <v>174</v>
      </c>
      <c r="B120" s="4"/>
      <c r="C120" s="4"/>
      <c r="D120" s="4"/>
      <c r="E120" s="4"/>
    </row>
    <row r="121" spans="1:5">
      <c r="A121" s="4" t="s">
        <v>175</v>
      </c>
      <c r="B121" s="4"/>
      <c r="C121" s="4"/>
      <c r="D121" s="4"/>
      <c r="E121" s="4"/>
    </row>
    <row r="122" spans="1:5">
      <c r="A122" s="4" t="s">
        <v>117</v>
      </c>
      <c r="B122" s="4"/>
      <c r="C122" s="4"/>
      <c r="D122" s="4"/>
      <c r="E122" s="4"/>
    </row>
    <row r="123" spans="1:5">
      <c r="A123" s="4" t="s">
        <v>118</v>
      </c>
      <c r="B123" s="4"/>
      <c r="C123" s="4"/>
      <c r="D123" s="4"/>
      <c r="E123" s="4"/>
    </row>
    <row r="124" spans="1:5">
      <c r="A124" s="4"/>
      <c r="B124" s="4"/>
      <c r="C124" s="4"/>
      <c r="D124" s="4"/>
      <c r="E124" s="4"/>
    </row>
    <row r="125" spans="1:5">
      <c r="A125" s="4"/>
      <c r="B125" s="4"/>
      <c r="C125" s="4"/>
      <c r="D125" s="4"/>
      <c r="E125" s="4"/>
    </row>
    <row r="126" spans="1:5">
      <c r="A126" s="4" t="s">
        <v>22</v>
      </c>
      <c r="B126" s="4"/>
      <c r="C126" s="4"/>
      <c r="D126" s="4"/>
      <c r="E126" s="4"/>
    </row>
    <row r="127" spans="1:5">
      <c r="A127" s="4" t="s">
        <v>185</v>
      </c>
      <c r="B127" s="4"/>
      <c r="C127" s="4"/>
      <c r="D127" s="4"/>
      <c r="E127" s="4"/>
    </row>
    <row r="128" spans="1:5">
      <c r="A128" s="4" t="s">
        <v>186</v>
      </c>
      <c r="B128" s="4"/>
      <c r="C128" s="4"/>
      <c r="D128" s="4"/>
      <c r="E128" s="4"/>
    </row>
    <row r="129" spans="1:5">
      <c r="A129" s="4" t="s">
        <v>187</v>
      </c>
      <c r="B129" s="4"/>
      <c r="C129" s="4"/>
      <c r="D129" s="4"/>
      <c r="E129" s="4"/>
    </row>
    <row r="130" spans="1:5">
      <c r="A130" s="4" t="s">
        <v>119</v>
      </c>
      <c r="B130" s="4"/>
      <c r="C130" s="4"/>
      <c r="D130" s="4"/>
      <c r="E130" s="4"/>
    </row>
    <row r="131" spans="1:5">
      <c r="A131" s="4" t="s">
        <v>221</v>
      </c>
      <c r="B131" s="4"/>
      <c r="C131" s="4"/>
      <c r="D131" s="4"/>
      <c r="E131" s="4"/>
    </row>
    <row r="132" spans="1:5">
      <c r="A132" s="4" t="s">
        <v>222</v>
      </c>
      <c r="B132" s="4"/>
      <c r="C132" s="4"/>
      <c r="D132" s="4"/>
      <c r="E132" s="4"/>
    </row>
    <row r="133" spans="1:5">
      <c r="A133" s="4"/>
      <c r="B133" s="4"/>
      <c r="C133" s="4"/>
      <c r="D133" s="4"/>
      <c r="E133" s="4"/>
    </row>
    <row r="134" spans="1:5">
      <c r="A134" s="4" t="s">
        <v>23</v>
      </c>
      <c r="B134" s="4"/>
      <c r="C134" s="4"/>
      <c r="D134" s="4"/>
      <c r="E134" s="4"/>
    </row>
    <row r="135" spans="1:5">
      <c r="A135" s="4" t="s">
        <v>223</v>
      </c>
      <c r="B135" s="4"/>
      <c r="C135" s="4"/>
      <c r="D135" s="4"/>
      <c r="E135" s="4"/>
    </row>
    <row r="136" spans="1:5">
      <c r="A136" s="4" t="s">
        <v>224</v>
      </c>
      <c r="B136" s="4"/>
      <c r="C136" s="4"/>
      <c r="D136" s="4"/>
      <c r="E136" s="4"/>
    </row>
    <row r="137" spans="1:5">
      <c r="A137" s="4" t="s">
        <v>225</v>
      </c>
      <c r="B137" s="4"/>
      <c r="C137" s="4"/>
      <c r="D137" s="4"/>
      <c r="E137" s="4"/>
    </row>
    <row r="138" spans="1:5">
      <c r="A138" s="4" t="s">
        <v>188</v>
      </c>
      <c r="B138" s="4"/>
      <c r="C138" s="4"/>
      <c r="D138" s="4"/>
      <c r="E138" s="4"/>
    </row>
    <row r="139" spans="1:5">
      <c r="A139" s="4" t="s">
        <v>189</v>
      </c>
      <c r="B139" s="4"/>
      <c r="C139" s="4"/>
      <c r="D139" s="4"/>
      <c r="E139" s="4"/>
    </row>
    <row r="140" spans="1:5">
      <c r="A140" s="3"/>
      <c r="B140" s="3"/>
      <c r="C140" s="3"/>
      <c r="D140" s="3"/>
      <c r="E140" s="3"/>
    </row>
    <row r="141" spans="1:5">
      <c r="A141" s="3"/>
      <c r="B141" s="3"/>
      <c r="C141" s="3"/>
      <c r="D141" s="3"/>
      <c r="E141" s="3"/>
    </row>
    <row r="142" spans="1:5">
      <c r="A142" s="4" t="s">
        <v>24</v>
      </c>
      <c r="B142" s="4"/>
      <c r="C142" s="4"/>
      <c r="D142" s="4"/>
      <c r="E142" s="4"/>
    </row>
    <row r="143" spans="1:5">
      <c r="A143" s="4" t="s">
        <v>273</v>
      </c>
      <c r="B143" s="4"/>
      <c r="C143" s="4"/>
      <c r="D143" s="4"/>
      <c r="E143" s="4"/>
    </row>
    <row r="144" spans="1:5">
      <c r="A144" s="4" t="s">
        <v>298</v>
      </c>
      <c r="B144" s="4"/>
      <c r="C144" s="4"/>
      <c r="D144" s="4"/>
      <c r="E144" s="4"/>
    </row>
    <row r="145" spans="1:5">
      <c r="A145" s="4" t="s">
        <v>299</v>
      </c>
      <c r="B145" s="4"/>
      <c r="C145" s="4"/>
      <c r="D145" s="4"/>
      <c r="E145" s="4"/>
    </row>
    <row r="146" spans="1:5">
      <c r="A146" s="4" t="s">
        <v>300</v>
      </c>
      <c r="B146" s="4"/>
      <c r="C146" s="4"/>
      <c r="D146" s="4"/>
      <c r="E146" s="4"/>
    </row>
    <row r="147" spans="1:5">
      <c r="A147" s="4"/>
      <c r="B147" s="4"/>
      <c r="C147" s="4"/>
      <c r="D147" s="4"/>
      <c r="E147" s="4"/>
    </row>
    <row r="148" spans="1:5">
      <c r="A148" s="4"/>
      <c r="B148" s="4"/>
      <c r="C148" s="4"/>
      <c r="D148" s="4"/>
      <c r="E148" s="4"/>
    </row>
    <row r="149" spans="1:5">
      <c r="A149" s="4" t="s">
        <v>25</v>
      </c>
      <c r="B149" s="4"/>
      <c r="C149" s="4"/>
      <c r="D149" s="4"/>
      <c r="E149" s="4"/>
    </row>
    <row r="150" spans="1:5">
      <c r="A150" s="4" t="s">
        <v>274</v>
      </c>
      <c r="B150" s="4"/>
      <c r="C150" s="4"/>
      <c r="D150" s="4"/>
      <c r="E150" s="4"/>
    </row>
    <row r="151" spans="1:5">
      <c r="A151" s="4" t="s">
        <v>275</v>
      </c>
      <c r="B151" s="4"/>
      <c r="C151" s="4"/>
      <c r="D151" s="4"/>
      <c r="E151" s="4"/>
    </row>
    <row r="152" spans="1:5">
      <c r="A152" s="4" t="s">
        <v>276</v>
      </c>
      <c r="B152" s="4"/>
      <c r="C152" s="4"/>
      <c r="D152" s="4"/>
      <c r="E152" s="4"/>
    </row>
    <row r="153" spans="1:5">
      <c r="A153" s="4" t="s">
        <v>277</v>
      </c>
      <c r="B153" s="4"/>
      <c r="C153" s="4"/>
      <c r="D153" s="4"/>
      <c r="E153" s="4"/>
    </row>
    <row r="154" spans="1:5">
      <c r="A154" s="4" t="s">
        <v>190</v>
      </c>
      <c r="B154" s="4"/>
      <c r="C154" s="4"/>
      <c r="D154" s="4"/>
      <c r="E154" s="4"/>
    </row>
    <row r="155" spans="1:5">
      <c r="A155" s="4" t="s">
        <v>191</v>
      </c>
      <c r="B155" s="4"/>
      <c r="C155" s="4"/>
      <c r="D155" s="4"/>
      <c r="E155" s="4"/>
    </row>
    <row r="156" spans="1:5">
      <c r="A156" s="4" t="s">
        <v>192</v>
      </c>
      <c r="B156" s="4"/>
      <c r="C156" s="4"/>
      <c r="D156" s="4"/>
      <c r="E156" s="4"/>
    </row>
    <row r="157" spans="1:5">
      <c r="A157" s="4" t="s">
        <v>193</v>
      </c>
      <c r="B157" s="4"/>
      <c r="C157" s="4"/>
      <c r="D157" s="4"/>
      <c r="E157" s="4"/>
    </row>
    <row r="158" spans="1:5">
      <c r="A158" s="4" t="s">
        <v>194</v>
      </c>
      <c r="B158" s="4"/>
      <c r="C158" s="4"/>
      <c r="D158" s="4"/>
      <c r="E158" s="4"/>
    </row>
    <row r="159" spans="1:5">
      <c r="A159" s="4" t="s">
        <v>195</v>
      </c>
      <c r="B159" s="4"/>
      <c r="C159" s="4"/>
      <c r="D159" s="4"/>
      <c r="E159" s="4"/>
    </row>
    <row r="160" spans="1:5">
      <c r="A160" s="4"/>
      <c r="B160" s="4"/>
      <c r="C160" s="4"/>
      <c r="D160" s="4"/>
      <c r="E160" s="4"/>
    </row>
    <row r="161" spans="1:5" s="105" customFormat="1">
      <c r="A161" s="104" t="s">
        <v>323</v>
      </c>
      <c r="B161" s="104"/>
      <c r="C161" s="104"/>
      <c r="D161" s="104"/>
      <c r="E161" s="104"/>
    </row>
    <row r="162" spans="1:5" s="105" customFormat="1">
      <c r="A162" s="104" t="s">
        <v>326</v>
      </c>
      <c r="B162" s="104"/>
      <c r="C162" s="104"/>
      <c r="D162" s="104"/>
      <c r="E162" s="104"/>
    </row>
    <row r="163" spans="1:5" s="105" customFormat="1">
      <c r="A163" s="104" t="s">
        <v>327</v>
      </c>
      <c r="B163" s="104"/>
      <c r="C163" s="104"/>
      <c r="D163" s="104"/>
      <c r="E163" s="104"/>
    </row>
    <row r="164" spans="1:5" s="105" customFormat="1">
      <c r="A164" s="104" t="s">
        <v>287</v>
      </c>
      <c r="B164" s="104"/>
      <c r="C164" s="104"/>
      <c r="D164" s="104"/>
      <c r="E164" s="104"/>
    </row>
    <row r="165" spans="1:5" s="105" customFormat="1">
      <c r="A165" s="104" t="s">
        <v>288</v>
      </c>
      <c r="B165" s="104"/>
      <c r="C165" s="104"/>
      <c r="D165" s="104"/>
      <c r="E165" s="104"/>
    </row>
    <row r="166" spans="1:5" s="105" customFormat="1">
      <c r="A166" s="104" t="s">
        <v>289</v>
      </c>
      <c r="B166" s="104"/>
      <c r="C166" s="104"/>
      <c r="D166" s="104"/>
      <c r="E166" s="104"/>
    </row>
    <row r="167" spans="1:5">
      <c r="A167" s="4"/>
      <c r="B167" s="4"/>
      <c r="C167" s="4"/>
      <c r="D167" s="4"/>
      <c r="E167" s="4"/>
    </row>
    <row r="168" spans="1:5">
      <c r="A168" s="4"/>
      <c r="B168" s="4"/>
      <c r="C168" s="4"/>
      <c r="D168" s="4"/>
      <c r="E168" s="4"/>
    </row>
    <row r="169" spans="1:5">
      <c r="A169" s="4" t="s">
        <v>290</v>
      </c>
      <c r="B169" s="4"/>
      <c r="C169" s="4"/>
      <c r="D169" s="4"/>
      <c r="E169" s="4"/>
    </row>
    <row r="170" spans="1:5">
      <c r="A170" s="4" t="s">
        <v>196</v>
      </c>
      <c r="B170" s="4"/>
      <c r="C170" s="4"/>
      <c r="D170" s="4"/>
      <c r="E170" s="4"/>
    </row>
    <row r="171" spans="1:5">
      <c r="A171" s="4" t="s">
        <v>278</v>
      </c>
      <c r="B171" s="4"/>
      <c r="C171" s="4"/>
      <c r="D171" s="4"/>
      <c r="E171" s="4"/>
    </row>
    <row r="172" spans="1:5">
      <c r="A172" s="4" t="s">
        <v>197</v>
      </c>
      <c r="B172" s="4"/>
      <c r="C172" s="4"/>
      <c r="D172" s="4"/>
      <c r="E172" s="4"/>
    </row>
    <row r="173" spans="1:5">
      <c r="A173" s="4"/>
      <c r="B173" s="4"/>
      <c r="C173" s="4"/>
      <c r="D173" s="4"/>
      <c r="E173" s="4"/>
    </row>
    <row r="174" spans="1:5">
      <c r="A174" s="4"/>
      <c r="B174" s="4"/>
      <c r="C174" s="4"/>
      <c r="D174" s="4"/>
      <c r="E174" s="4"/>
    </row>
    <row r="175" spans="1:5">
      <c r="A175" s="4" t="s">
        <v>291</v>
      </c>
      <c r="B175" s="4"/>
      <c r="C175" s="4"/>
      <c r="D175" s="4"/>
      <c r="E175" s="4"/>
    </row>
    <row r="176" spans="1:5">
      <c r="A176" s="4" t="s">
        <v>198</v>
      </c>
      <c r="B176" s="4"/>
      <c r="C176" s="4"/>
      <c r="D176" s="4"/>
      <c r="E176" s="4"/>
    </row>
    <row r="177" spans="1:5">
      <c r="A177" s="4" t="s">
        <v>199</v>
      </c>
      <c r="B177" s="4"/>
      <c r="C177" s="4"/>
      <c r="D177" s="4"/>
      <c r="E177" s="4"/>
    </row>
    <row r="178" spans="1:5">
      <c r="A178" s="4"/>
      <c r="B178" s="4"/>
      <c r="C178" s="4"/>
      <c r="D178" s="4"/>
      <c r="E178" s="4"/>
    </row>
    <row r="179" spans="1:5">
      <c r="A179" s="4"/>
      <c r="B179" s="4"/>
      <c r="C179" s="4"/>
      <c r="D179" s="4"/>
      <c r="E179" s="4"/>
    </row>
    <row r="180" spans="1:5">
      <c r="A180" s="4" t="s">
        <v>292</v>
      </c>
      <c r="B180" s="4"/>
      <c r="C180" s="4"/>
      <c r="D180" s="4"/>
      <c r="E180" s="4"/>
    </row>
    <row r="181" spans="1:5">
      <c r="A181" s="4" t="s">
        <v>200</v>
      </c>
      <c r="B181" s="4"/>
      <c r="C181" s="4"/>
      <c r="D181" s="4"/>
      <c r="E181" s="4"/>
    </row>
    <row r="182" spans="1:5">
      <c r="A182" s="4" t="s">
        <v>201</v>
      </c>
      <c r="B182" s="4"/>
      <c r="C182" s="4"/>
      <c r="D182" s="4"/>
      <c r="E182" s="4"/>
    </row>
    <row r="183" spans="1:5">
      <c r="A183" s="4" t="s">
        <v>202</v>
      </c>
      <c r="B183" s="4"/>
      <c r="C183" s="4"/>
      <c r="D183" s="4"/>
      <c r="E183" s="4"/>
    </row>
    <row r="184" spans="1:5">
      <c r="A184" s="4" t="s">
        <v>203</v>
      </c>
      <c r="B184" s="4"/>
      <c r="C184" s="4"/>
      <c r="D184" s="4"/>
      <c r="E184" s="4"/>
    </row>
    <row r="185" spans="1:5">
      <c r="A185" s="4" t="s">
        <v>204</v>
      </c>
      <c r="B185" s="4"/>
      <c r="C185" s="4"/>
      <c r="D185" s="4"/>
      <c r="E185" s="4"/>
    </row>
    <row r="186" spans="1:5">
      <c r="A186" s="4"/>
      <c r="B186" s="4"/>
      <c r="C186" s="4"/>
      <c r="D186" s="4"/>
      <c r="E186" s="4"/>
    </row>
    <row r="187" spans="1:5">
      <c r="A187" s="4"/>
      <c r="B187" s="4"/>
      <c r="C187" s="4"/>
      <c r="D187" s="4"/>
      <c r="E187" s="4"/>
    </row>
    <row r="188" spans="1:5">
      <c r="A188" s="4" t="s">
        <v>293</v>
      </c>
      <c r="B188" s="4"/>
      <c r="C188" s="4"/>
      <c r="D188" s="4"/>
      <c r="E188" s="4"/>
    </row>
    <row r="189" spans="1:5">
      <c r="A189" s="4" t="s">
        <v>205</v>
      </c>
      <c r="B189" s="4"/>
      <c r="C189" s="4"/>
      <c r="D189" s="4"/>
      <c r="E189" s="4"/>
    </row>
    <row r="190" spans="1:5">
      <c r="A190" s="4" t="s">
        <v>206</v>
      </c>
      <c r="B190" s="4"/>
      <c r="C190" s="4"/>
      <c r="D190" s="4"/>
      <c r="E190" s="4"/>
    </row>
    <row r="191" spans="1:5">
      <c r="A191" s="4" t="s">
        <v>207</v>
      </c>
      <c r="B191" s="4"/>
      <c r="C191" s="4"/>
      <c r="D191" s="4"/>
      <c r="E191" s="4"/>
    </row>
    <row r="192" spans="1:5">
      <c r="A192" s="4" t="s">
        <v>208</v>
      </c>
      <c r="B192" s="4"/>
      <c r="C192" s="4"/>
      <c r="D192" s="4"/>
      <c r="E192" s="4"/>
    </row>
    <row r="193" spans="1:5">
      <c r="A193" s="4" t="s">
        <v>120</v>
      </c>
      <c r="B193" s="4"/>
      <c r="C193" s="4"/>
      <c r="D193" s="4"/>
      <c r="E193" s="4"/>
    </row>
    <row r="194" spans="1:5">
      <c r="A194" s="4"/>
      <c r="B194" s="4"/>
      <c r="C194" s="4"/>
      <c r="D194" s="4"/>
      <c r="E194" s="4"/>
    </row>
    <row r="195" spans="1:5">
      <c r="A195" s="4"/>
      <c r="B195" s="4"/>
      <c r="C195" s="4"/>
      <c r="D195" s="4"/>
      <c r="E195" s="4"/>
    </row>
    <row r="196" spans="1:5">
      <c r="A196" s="4" t="s">
        <v>294</v>
      </c>
      <c r="B196" s="4"/>
      <c r="C196" s="4"/>
      <c r="D196" s="4"/>
      <c r="E196" s="4"/>
    </row>
    <row r="197" spans="1:5">
      <c r="A197" s="4" t="s">
        <v>279</v>
      </c>
      <c r="B197" s="4"/>
      <c r="C197" s="4"/>
      <c r="D197" s="4"/>
      <c r="E197" s="4"/>
    </row>
    <row r="198" spans="1:5">
      <c r="A198" s="4" t="s">
        <v>209</v>
      </c>
      <c r="B198" s="4"/>
      <c r="C198" s="4"/>
      <c r="D198" s="4"/>
      <c r="E198" s="4"/>
    </row>
    <row r="199" spans="1:5">
      <c r="A199" s="4" t="s">
        <v>210</v>
      </c>
      <c r="B199" s="4"/>
      <c r="C199" s="4"/>
      <c r="D199" s="4"/>
      <c r="E199" s="4"/>
    </row>
    <row r="200" spans="1:5">
      <c r="A200" s="4"/>
      <c r="B200" s="4"/>
      <c r="C200" s="4"/>
      <c r="D200" s="4"/>
      <c r="E200" s="4"/>
    </row>
    <row r="201" spans="1:5">
      <c r="A201" s="4"/>
      <c r="B201" s="4"/>
      <c r="C201" s="4"/>
      <c r="D201" s="4"/>
      <c r="E201" s="4"/>
    </row>
    <row r="202" spans="1:5">
      <c r="A202" s="4" t="s">
        <v>26</v>
      </c>
      <c r="B202" s="4"/>
      <c r="C202" s="4"/>
      <c r="D202" s="4"/>
      <c r="E202" s="4"/>
    </row>
    <row r="203" spans="1:5">
      <c r="A203" s="4" t="s">
        <v>211</v>
      </c>
      <c r="B203" s="4"/>
      <c r="C203" s="4"/>
      <c r="D203" s="4"/>
      <c r="E203" s="4"/>
    </row>
    <row r="204" spans="1:5">
      <c r="A204" s="4" t="s">
        <v>212</v>
      </c>
      <c r="B204" s="4"/>
      <c r="C204" s="4"/>
      <c r="D204" s="4"/>
      <c r="E204" s="4"/>
    </row>
    <row r="205" spans="1:5">
      <c r="A205" s="4" t="s">
        <v>213</v>
      </c>
      <c r="B205" s="4"/>
      <c r="C205" s="4"/>
      <c r="D205" s="4"/>
      <c r="E205" s="4"/>
    </row>
    <row r="206" spans="1:5">
      <c r="A206" s="4"/>
      <c r="B206" s="4"/>
      <c r="C206" s="4"/>
      <c r="D206" s="4"/>
      <c r="E206" s="4"/>
    </row>
    <row r="207" spans="1:5">
      <c r="A207" s="4"/>
      <c r="B207" s="4"/>
      <c r="C207" s="4"/>
      <c r="D207" s="4"/>
      <c r="E207" s="4"/>
    </row>
    <row r="208" spans="1:5">
      <c r="A208" s="4"/>
      <c r="B208" s="4"/>
      <c r="C208" s="4"/>
      <c r="D208" s="4"/>
      <c r="E208" s="4"/>
    </row>
    <row r="209" spans="1:9">
      <c r="A209" s="4"/>
      <c r="B209" s="4"/>
      <c r="C209" s="4"/>
      <c r="D209" s="4"/>
      <c r="E209" s="4"/>
    </row>
    <row r="210" spans="1:9">
      <c r="A210" s="4"/>
      <c r="B210" s="4"/>
      <c r="C210" s="4"/>
      <c r="D210" s="4"/>
      <c r="E210" s="4"/>
    </row>
    <row r="211" spans="1:9">
      <c r="A211" s="4"/>
      <c r="B211" s="4"/>
      <c r="C211" s="4"/>
      <c r="D211" s="4"/>
      <c r="E211" s="4"/>
    </row>
    <row r="212" spans="1:9">
      <c r="A212" s="4" t="s">
        <v>331</v>
      </c>
      <c r="B212" s="4"/>
      <c r="C212" s="4"/>
      <c r="D212" s="4"/>
      <c r="E212" s="4"/>
    </row>
    <row r="213" spans="1:9">
      <c r="A213" s="4" t="s">
        <v>332</v>
      </c>
      <c r="B213" s="4"/>
      <c r="C213" s="4"/>
      <c r="D213" s="4"/>
      <c r="E213" s="4"/>
    </row>
    <row r="214" spans="1:9">
      <c r="A214" s="4" t="s">
        <v>333</v>
      </c>
      <c r="B214" s="4"/>
      <c r="C214" s="4"/>
      <c r="D214" s="4"/>
      <c r="E214" s="4"/>
    </row>
    <row r="215" spans="1:9">
      <c r="A215" s="4"/>
      <c r="B215" s="4"/>
      <c r="C215" s="4"/>
      <c r="D215" s="4"/>
      <c r="E215" s="4"/>
    </row>
    <row r="216" spans="1:9">
      <c r="A216" s="4"/>
      <c r="B216" s="4"/>
      <c r="C216" s="4"/>
      <c r="D216" s="4"/>
      <c r="E216" s="4"/>
    </row>
    <row r="217" spans="1:9">
      <c r="A217" s="4"/>
      <c r="B217" s="4"/>
      <c r="C217" s="4"/>
      <c r="D217" s="4"/>
      <c r="E217" s="4"/>
    </row>
    <row r="218" spans="1:9">
      <c r="A218" s="4"/>
      <c r="B218" s="4"/>
      <c r="C218" s="4"/>
      <c r="D218" s="4"/>
      <c r="E218" s="4"/>
    </row>
    <row r="219" spans="1:9">
      <c r="A219" s="4" t="s">
        <v>368</v>
      </c>
      <c r="B219" s="4"/>
      <c r="C219" s="4"/>
      <c r="D219" s="4"/>
      <c r="E219" s="4"/>
    </row>
    <row r="220" spans="1:9">
      <c r="A220" s="4" t="s">
        <v>27</v>
      </c>
      <c r="B220" s="4"/>
      <c r="C220" s="4"/>
      <c r="D220" s="4"/>
      <c r="E220" s="4"/>
    </row>
    <row r="221" spans="1:9">
      <c r="A221" s="4" t="s">
        <v>28</v>
      </c>
      <c r="B221" s="4"/>
      <c r="C221" s="4"/>
      <c r="D221" s="4"/>
      <c r="E221" s="4"/>
    </row>
    <row r="222" spans="1:9">
      <c r="A222" s="4" t="s">
        <v>121</v>
      </c>
      <c r="B222" s="4"/>
      <c r="C222" s="90"/>
      <c r="D222" s="90"/>
      <c r="E222" s="90"/>
      <c r="F222" s="91"/>
      <c r="G222" s="91"/>
      <c r="H222" s="91"/>
      <c r="I222" s="91"/>
    </row>
    <row r="223" spans="1:9">
      <c r="A223" s="4"/>
      <c r="B223" s="4"/>
      <c r="C223" s="4"/>
      <c r="D223" s="4"/>
      <c r="E223" s="4"/>
    </row>
    <row r="224" spans="1:9">
      <c r="A224" s="4"/>
      <c r="B224" s="4"/>
      <c r="C224" s="4"/>
      <c r="D224" s="4"/>
      <c r="E224" s="4"/>
    </row>
    <row r="225" spans="1:9">
      <c r="A225" s="4" t="s">
        <v>30</v>
      </c>
      <c r="B225" s="4"/>
      <c r="C225" s="4"/>
      <c r="D225" s="4"/>
      <c r="E225" s="4"/>
    </row>
    <row r="226" spans="1:9">
      <c r="A226" s="4"/>
      <c r="B226" s="4"/>
      <c r="C226" s="4"/>
      <c r="D226" s="4"/>
      <c r="E226" s="4"/>
    </row>
    <row r="227" spans="1:9">
      <c r="A227" s="4" t="s">
        <v>31</v>
      </c>
      <c r="B227" s="4"/>
      <c r="C227" s="4"/>
      <c r="D227" s="4"/>
      <c r="E227" s="4"/>
    </row>
    <row r="228" spans="1:9">
      <c r="A228" s="4" t="s">
        <v>29</v>
      </c>
      <c r="B228" s="4"/>
      <c r="C228" s="90"/>
      <c r="D228" s="90"/>
      <c r="E228" s="90"/>
      <c r="F228" s="91"/>
      <c r="G228" s="91"/>
      <c r="H228" s="91"/>
      <c r="I228" s="91"/>
    </row>
    <row r="229" spans="1:9">
      <c r="A229" s="4"/>
      <c r="B229" s="4"/>
      <c r="C229" s="4"/>
      <c r="D229" s="4"/>
      <c r="E229" s="4"/>
    </row>
    <row r="230" spans="1:9">
      <c r="A230" s="4"/>
      <c r="B230" s="4"/>
      <c r="C230" s="4"/>
      <c r="D230" s="4"/>
      <c r="E230" s="4"/>
    </row>
    <row r="231" spans="1:9">
      <c r="A231" s="4" t="s">
        <v>30</v>
      </c>
      <c r="B231" s="4"/>
      <c r="C231" s="4"/>
      <c r="D231" s="4"/>
      <c r="E231" s="4"/>
    </row>
    <row r="232" spans="1:9">
      <c r="A232" s="4"/>
      <c r="B232" s="4"/>
      <c r="C232" s="4"/>
      <c r="D232" s="4"/>
      <c r="E232" s="4"/>
    </row>
    <row r="233" spans="1:9">
      <c r="A233" s="4"/>
      <c r="B233" s="4"/>
      <c r="C233" s="4"/>
      <c r="D233" s="4"/>
      <c r="E233" s="4"/>
    </row>
    <row r="234" spans="1:9">
      <c r="A234" s="4"/>
      <c r="B234" s="4"/>
      <c r="C234" s="4"/>
      <c r="D234" s="4"/>
      <c r="E234" s="4"/>
    </row>
    <row r="235" spans="1:9">
      <c r="A235" s="4" t="s">
        <v>32</v>
      </c>
      <c r="B235" s="4"/>
      <c r="C235" s="4"/>
      <c r="D235" s="4"/>
      <c r="E235" s="4"/>
    </row>
    <row r="236" spans="1:9">
      <c r="A236" s="4" t="s">
        <v>339</v>
      </c>
      <c r="B236" s="4"/>
      <c r="C236" s="4"/>
      <c r="D236" s="4"/>
      <c r="E236" s="4"/>
    </row>
    <row r="237" spans="1:9">
      <c r="A237" s="4" t="s">
        <v>340</v>
      </c>
      <c r="B237" s="4"/>
      <c r="C237" s="4"/>
      <c r="D237" s="4"/>
      <c r="E237" s="4"/>
    </row>
    <row r="238" spans="1:9">
      <c r="A238" s="4" t="s">
        <v>361</v>
      </c>
      <c r="B238" s="4"/>
      <c r="C238" s="4"/>
      <c r="D238" s="4"/>
      <c r="E238" s="4"/>
    </row>
    <row r="239" spans="1:9" ht="16.5">
      <c r="A239" s="7"/>
      <c r="B239" s="7"/>
      <c r="C239" s="7"/>
      <c r="D239" s="7"/>
      <c r="E239" s="7"/>
    </row>
    <row r="240" spans="1:9">
      <c r="A240" s="4"/>
      <c r="B240" s="4"/>
      <c r="C240" s="4"/>
      <c r="D240" s="4"/>
      <c r="E240" s="4"/>
    </row>
    <row r="241" spans="1:16">
      <c r="A241" s="4"/>
      <c r="B241" s="4"/>
      <c r="C241" s="4"/>
      <c r="D241" s="4"/>
      <c r="E241" s="4"/>
    </row>
    <row r="242" spans="1:16">
      <c r="A242" s="4"/>
      <c r="B242" s="4"/>
      <c r="C242" s="4"/>
      <c r="D242" s="4"/>
      <c r="E242" s="4"/>
    </row>
    <row r="243" spans="1:16">
      <c r="A243" s="4"/>
      <c r="B243" s="4"/>
      <c r="C243" s="4"/>
      <c r="D243" s="4"/>
      <c r="E243" s="4"/>
    </row>
    <row r="244" spans="1:16">
      <c r="A244" s="4"/>
      <c r="B244" s="4"/>
      <c r="C244" s="4"/>
      <c r="D244" s="4"/>
      <c r="E244" s="4"/>
    </row>
    <row r="245" spans="1:16" ht="19">
      <c r="A245" s="1" t="s">
        <v>33</v>
      </c>
      <c r="B245" s="1"/>
      <c r="C245" s="1"/>
      <c r="D245" s="1"/>
      <c r="E245" s="1"/>
      <c r="F245" s="2"/>
      <c r="G245" s="2"/>
      <c r="H245" s="2"/>
      <c r="I245" s="2"/>
      <c r="J245" s="2"/>
      <c r="K245" s="2"/>
      <c r="L245" s="2"/>
      <c r="M245" s="2"/>
      <c r="N245" s="2"/>
      <c r="O245" s="2"/>
      <c r="P245" s="2"/>
    </row>
    <row r="246" spans="1:16">
      <c r="A246" s="8" t="s">
        <v>34</v>
      </c>
      <c r="B246" s="8"/>
      <c r="C246" s="8"/>
      <c r="D246" s="8"/>
      <c r="E246" s="8"/>
    </row>
    <row r="247" spans="1:16">
      <c r="A247" s="8" t="s">
        <v>364</v>
      </c>
      <c r="B247" s="8"/>
      <c r="C247" s="8"/>
      <c r="D247" s="8"/>
      <c r="E247" s="8"/>
    </row>
    <row r="248" spans="1:16">
      <c r="A248" s="9"/>
      <c r="B248" s="9"/>
      <c r="C248" s="9"/>
      <c r="D248" s="9"/>
      <c r="E248" s="9"/>
    </row>
    <row r="249" spans="1:16">
      <c r="A249" s="8" t="s">
        <v>35</v>
      </c>
      <c r="B249" s="8"/>
      <c r="C249" s="8"/>
      <c r="D249" s="8"/>
      <c r="E249" s="8"/>
    </row>
    <row r="250" spans="1:16">
      <c r="A250" s="4" t="s">
        <v>36</v>
      </c>
      <c r="B250" s="4"/>
      <c r="C250" s="4"/>
      <c r="D250" s="4"/>
      <c r="E250" s="4"/>
    </row>
    <row r="251" spans="1:16" ht="15" customHeight="1">
      <c r="A251" s="10" t="s">
        <v>37</v>
      </c>
      <c r="B251" s="11"/>
      <c r="C251" s="11"/>
      <c r="D251" s="11"/>
      <c r="E251" s="11"/>
      <c r="F251" s="11"/>
      <c r="G251" s="12" t="s">
        <v>301</v>
      </c>
      <c r="H251" s="13"/>
      <c r="I251" s="13"/>
      <c r="J251" s="14"/>
      <c r="K251" s="14"/>
      <c r="L251" s="14"/>
      <c r="M251" s="14"/>
      <c r="N251" s="14"/>
      <c r="O251" s="14"/>
      <c r="P251" s="15"/>
    </row>
    <row r="252" spans="1:16" ht="15" customHeight="1">
      <c r="A252" s="16" t="s">
        <v>38</v>
      </c>
      <c r="B252" s="17"/>
      <c r="C252" s="17"/>
      <c r="D252" s="17"/>
      <c r="E252" s="17"/>
      <c r="F252" s="17"/>
      <c r="G252" s="18" t="s">
        <v>302</v>
      </c>
      <c r="H252" s="19"/>
      <c r="I252" s="19"/>
      <c r="J252" s="20"/>
      <c r="K252" s="20"/>
      <c r="L252" s="20"/>
      <c r="M252" s="20"/>
      <c r="N252" s="20"/>
      <c r="O252" s="20"/>
      <c r="P252" s="21"/>
    </row>
    <row r="253" spans="1:16" ht="15" customHeight="1">
      <c r="A253" s="16" t="s">
        <v>39</v>
      </c>
      <c r="B253" s="17"/>
      <c r="C253" s="17"/>
      <c r="D253" s="17"/>
      <c r="E253" s="17"/>
      <c r="F253" s="17"/>
      <c r="G253" s="18" t="s">
        <v>341</v>
      </c>
      <c r="H253" s="19"/>
      <c r="I253" s="19"/>
      <c r="J253" s="20"/>
      <c r="K253" s="20"/>
      <c r="L253" s="20"/>
      <c r="M253" s="20"/>
      <c r="N253" s="20"/>
      <c r="O253" s="20"/>
      <c r="P253" s="21"/>
    </row>
    <row r="254" spans="1:16" ht="15" customHeight="1">
      <c r="A254" s="16" t="s">
        <v>40</v>
      </c>
      <c r="B254" s="17"/>
      <c r="C254" s="17"/>
      <c r="D254" s="17"/>
      <c r="E254" s="17"/>
      <c r="F254" s="17"/>
      <c r="G254" s="18" t="s">
        <v>303</v>
      </c>
      <c r="H254" s="19"/>
      <c r="I254" s="19"/>
      <c r="J254" s="20"/>
      <c r="K254" s="20"/>
      <c r="L254" s="20"/>
      <c r="M254" s="20"/>
      <c r="N254" s="20"/>
      <c r="O254" s="20"/>
      <c r="P254" s="21"/>
    </row>
    <row r="255" spans="1:16" ht="15" customHeight="1">
      <c r="A255" s="16" t="s">
        <v>41</v>
      </c>
      <c r="B255" s="17"/>
      <c r="C255" s="17"/>
      <c r="D255" s="17"/>
      <c r="E255" s="17"/>
      <c r="F255" s="17"/>
      <c r="G255" s="18" t="s">
        <v>365</v>
      </c>
      <c r="H255" s="19"/>
      <c r="I255" s="19"/>
      <c r="J255" s="20"/>
      <c r="K255" s="20"/>
      <c r="L255" s="20"/>
      <c r="M255" s="20"/>
      <c r="N255" s="20"/>
      <c r="O255" s="20"/>
      <c r="P255" s="21"/>
    </row>
    <row r="256" spans="1:16" ht="15" customHeight="1">
      <c r="A256" s="22" t="s">
        <v>42</v>
      </c>
      <c r="B256" s="23"/>
      <c r="C256" s="23"/>
      <c r="D256" s="23"/>
      <c r="E256" s="23"/>
      <c r="F256" s="23"/>
      <c r="G256" s="24" t="s">
        <v>304</v>
      </c>
      <c r="H256" s="25"/>
      <c r="I256" s="25"/>
      <c r="J256" s="26"/>
      <c r="K256" s="26"/>
      <c r="L256" s="26"/>
      <c r="M256" s="26"/>
      <c r="N256" s="26"/>
      <c r="O256" s="26"/>
      <c r="P256" s="27"/>
    </row>
    <row r="257" spans="1:16" ht="13.5" customHeight="1">
      <c r="A257" s="4" t="s">
        <v>43</v>
      </c>
      <c r="B257" s="4"/>
      <c r="C257" s="4"/>
      <c r="D257" s="4"/>
      <c r="E257" s="4"/>
    </row>
    <row r="258" spans="1:16">
      <c r="A258" s="4"/>
      <c r="B258" s="4"/>
      <c r="C258" s="4"/>
      <c r="D258" s="4"/>
      <c r="E258" s="4"/>
    </row>
    <row r="259" spans="1:16">
      <c r="A259" s="4" t="s">
        <v>44</v>
      </c>
      <c r="B259" s="4"/>
      <c r="C259" s="4"/>
      <c r="D259" s="4"/>
      <c r="E259" s="4"/>
    </row>
    <row r="260" spans="1:16" ht="21" customHeight="1">
      <c r="A260" s="10" t="s">
        <v>45</v>
      </c>
      <c r="B260" s="11"/>
      <c r="C260" s="11"/>
      <c r="D260" s="11"/>
      <c r="E260" s="11"/>
      <c r="F260" s="28" t="s">
        <v>46</v>
      </c>
      <c r="G260" s="11"/>
      <c r="H260" s="11"/>
      <c r="I260" s="29"/>
      <c r="J260" s="30"/>
      <c r="K260" s="30"/>
      <c r="L260" s="14"/>
      <c r="M260" s="30" t="s">
        <v>47</v>
      </c>
      <c r="N260" s="30"/>
      <c r="O260" s="14"/>
      <c r="P260" s="15"/>
    </row>
    <row r="261" spans="1:16" ht="15" customHeight="1">
      <c r="A261" s="16" t="s">
        <v>48</v>
      </c>
      <c r="B261" s="17"/>
      <c r="C261" s="17"/>
      <c r="D261" s="17"/>
      <c r="E261" s="17"/>
      <c r="F261" s="31" t="s">
        <v>49</v>
      </c>
      <c r="G261" s="17"/>
      <c r="H261" s="17"/>
      <c r="I261" s="32"/>
      <c r="J261" s="33"/>
      <c r="K261" s="33"/>
      <c r="L261" s="20"/>
      <c r="M261" s="33" t="s">
        <v>50</v>
      </c>
      <c r="N261" s="33"/>
      <c r="O261" s="20"/>
      <c r="P261" s="21"/>
    </row>
    <row r="262" spans="1:16" ht="15" customHeight="1">
      <c r="A262" s="16" t="s">
        <v>51</v>
      </c>
      <c r="B262" s="17"/>
      <c r="C262" s="17"/>
      <c r="D262" s="17"/>
      <c r="E262" s="17"/>
      <c r="F262" s="31" t="s">
        <v>307</v>
      </c>
      <c r="G262" s="17"/>
      <c r="H262" s="17"/>
      <c r="I262" s="32"/>
      <c r="J262" s="33"/>
      <c r="K262" s="33"/>
      <c r="L262" s="20"/>
      <c r="M262" s="33" t="s">
        <v>50</v>
      </c>
      <c r="N262" s="33"/>
      <c r="O262" s="20"/>
      <c r="P262" s="21"/>
    </row>
    <row r="263" spans="1:16" ht="15" customHeight="1">
      <c r="A263" s="22" t="s">
        <v>52</v>
      </c>
      <c r="B263" s="23"/>
      <c r="C263" s="23"/>
      <c r="D263" s="23"/>
      <c r="E263" s="23"/>
      <c r="F263" s="34" t="s">
        <v>305</v>
      </c>
      <c r="G263" s="23"/>
      <c r="H263" s="23"/>
      <c r="I263" s="35"/>
      <c r="J263" s="36"/>
      <c r="K263" s="36"/>
      <c r="L263" s="26"/>
      <c r="M263" s="36" t="s">
        <v>306</v>
      </c>
      <c r="N263" s="36"/>
      <c r="O263" s="26"/>
      <c r="P263" s="27"/>
    </row>
    <row r="264" spans="1:16">
      <c r="A264" s="3"/>
      <c r="B264" s="3"/>
      <c r="C264" s="3"/>
      <c r="D264" s="3"/>
      <c r="E264" s="3"/>
    </row>
    <row r="265" spans="1:16">
      <c r="A265" s="4" t="s">
        <v>53</v>
      </c>
      <c r="B265" s="4"/>
      <c r="C265" s="4"/>
      <c r="D265" s="4"/>
      <c r="E265" s="4"/>
    </row>
    <row r="266" spans="1:16" ht="18.399999999999999" customHeight="1">
      <c r="A266" s="37" t="s">
        <v>54</v>
      </c>
      <c r="B266" s="38"/>
      <c r="C266" s="38"/>
      <c r="D266" s="38"/>
      <c r="E266" s="38"/>
      <c r="F266" s="39" t="s">
        <v>55</v>
      </c>
      <c r="G266" s="38"/>
      <c r="H266" s="40"/>
      <c r="I266" s="39"/>
      <c r="J266" s="39" t="s">
        <v>123</v>
      </c>
      <c r="K266" s="40"/>
      <c r="L266" s="38" t="s">
        <v>122</v>
      </c>
      <c r="M266" s="41"/>
      <c r="N266" s="41"/>
      <c r="O266" s="41"/>
      <c r="P266" s="42"/>
    </row>
    <row r="267" spans="1:16" ht="13.5" customHeight="1">
      <c r="A267" s="4" t="s">
        <v>56</v>
      </c>
      <c r="B267" s="4"/>
      <c r="C267" s="4"/>
      <c r="D267" s="4"/>
      <c r="E267" s="4"/>
    </row>
    <row r="268" spans="1:16">
      <c r="A268" s="9"/>
      <c r="B268" s="9"/>
      <c r="C268" s="9"/>
      <c r="D268" s="9"/>
      <c r="E268" s="9"/>
    </row>
    <row r="269" spans="1:16">
      <c r="A269" s="9"/>
      <c r="B269" s="9"/>
      <c r="C269" s="9"/>
      <c r="D269" s="9"/>
      <c r="E269" s="9"/>
    </row>
    <row r="270" spans="1:16">
      <c r="A270" s="8" t="s">
        <v>126</v>
      </c>
      <c r="B270" s="8"/>
      <c r="C270" s="8"/>
      <c r="D270" s="8"/>
      <c r="E270" s="8"/>
    </row>
    <row r="271" spans="1:16" ht="14.25" customHeight="1">
      <c r="A271" s="8" t="s">
        <v>127</v>
      </c>
      <c r="B271" s="8"/>
      <c r="C271" s="8"/>
      <c r="D271" s="8"/>
      <c r="E271" s="8"/>
    </row>
    <row r="272" spans="1:16">
      <c r="A272" s="43" t="s">
        <v>57</v>
      </c>
      <c r="B272" s="44"/>
      <c r="C272" s="44"/>
      <c r="D272" s="44"/>
      <c r="E272" s="44"/>
      <c r="F272" s="43" t="s">
        <v>58</v>
      </c>
      <c r="G272" s="44"/>
      <c r="H272" s="44"/>
      <c r="I272" s="45"/>
      <c r="J272" s="43" t="s">
        <v>12</v>
      </c>
      <c r="K272" s="44"/>
      <c r="L272" s="44"/>
      <c r="M272" s="45"/>
      <c r="N272" s="44" t="s">
        <v>13</v>
      </c>
      <c r="O272" s="46"/>
      <c r="P272" s="47"/>
    </row>
    <row r="273" spans="1:16">
      <c r="A273" s="43" t="s">
        <v>59</v>
      </c>
      <c r="B273" s="44"/>
      <c r="C273" s="44"/>
      <c r="D273" s="44"/>
      <c r="E273" s="44"/>
      <c r="F273" s="43" t="s">
        <v>60</v>
      </c>
      <c r="G273" s="44"/>
      <c r="H273" s="44"/>
      <c r="I273" s="45"/>
      <c r="J273" s="43" t="s">
        <v>61</v>
      </c>
      <c r="K273" s="44"/>
      <c r="L273" s="44"/>
      <c r="M273" s="45"/>
      <c r="N273" s="44" t="s">
        <v>62</v>
      </c>
      <c r="O273" s="46"/>
      <c r="P273" s="47"/>
    </row>
    <row r="274" spans="1:16">
      <c r="A274" s="43" t="s">
        <v>63</v>
      </c>
      <c r="B274" s="44"/>
      <c r="C274" s="44"/>
      <c r="D274" s="44"/>
      <c r="E274" s="44"/>
      <c r="F274" s="43" t="s">
        <v>64</v>
      </c>
      <c r="G274" s="44"/>
      <c r="H274" s="44"/>
      <c r="I274" s="45"/>
      <c r="J274" s="43" t="s">
        <v>65</v>
      </c>
      <c r="K274" s="44"/>
      <c r="L274" s="44"/>
      <c r="M274" s="45"/>
      <c r="N274" s="44" t="s">
        <v>66</v>
      </c>
      <c r="O274" s="46"/>
      <c r="P274" s="47"/>
    </row>
    <row r="275" spans="1:16">
      <c r="A275" s="43" t="s">
        <v>67</v>
      </c>
      <c r="B275" s="44"/>
      <c r="C275" s="44"/>
      <c r="D275" s="44"/>
      <c r="E275" s="44"/>
      <c r="F275" s="43"/>
      <c r="G275" s="44"/>
      <c r="H275" s="44"/>
      <c r="I275" s="45"/>
      <c r="J275" s="43"/>
      <c r="K275" s="44"/>
      <c r="L275" s="44"/>
      <c r="M275" s="47"/>
      <c r="N275" s="46"/>
      <c r="O275" s="46"/>
      <c r="P275" s="47"/>
    </row>
    <row r="276" spans="1:16" ht="14.25" customHeight="1">
      <c r="A276" s="8" t="s">
        <v>68</v>
      </c>
      <c r="B276" s="8"/>
      <c r="C276" s="8"/>
      <c r="D276" s="8"/>
      <c r="E276" s="8"/>
    </row>
    <row r="277" spans="1:16">
      <c r="A277" s="48" t="s">
        <v>61</v>
      </c>
      <c r="B277" s="106"/>
      <c r="C277" s="106"/>
      <c r="D277" s="106"/>
      <c r="E277" s="106"/>
      <c r="F277" s="48" t="s">
        <v>63</v>
      </c>
      <c r="G277" s="106"/>
      <c r="H277" s="106"/>
      <c r="I277" s="107"/>
      <c r="J277" s="48" t="s">
        <v>69</v>
      </c>
      <c r="K277" s="106"/>
      <c r="L277" s="106"/>
      <c r="M277" s="60"/>
      <c r="N277" s="59" t="s">
        <v>124</v>
      </c>
      <c r="O277" s="59"/>
      <c r="P277" s="60"/>
    </row>
    <row r="278" spans="1:16" ht="13.5" customHeight="1">
      <c r="A278" s="8" t="s">
        <v>226</v>
      </c>
      <c r="B278" s="8"/>
      <c r="C278" s="8"/>
      <c r="D278" s="8"/>
      <c r="E278" s="8"/>
    </row>
    <row r="279" spans="1:16" ht="13.5" customHeight="1">
      <c r="A279" s="8" t="s">
        <v>227</v>
      </c>
      <c r="B279" s="8"/>
      <c r="C279" s="8"/>
      <c r="D279" s="8"/>
      <c r="E279" s="8"/>
    </row>
    <row r="280" spans="1:16">
      <c r="A280" s="8" t="s">
        <v>125</v>
      </c>
      <c r="B280" s="8"/>
      <c r="C280" s="8"/>
      <c r="D280" s="8"/>
      <c r="E280" s="8"/>
    </row>
    <row r="281" spans="1:16">
      <c r="A281" s="3"/>
      <c r="B281" s="3"/>
      <c r="C281" s="3"/>
      <c r="D281" s="3"/>
      <c r="E281" s="3"/>
    </row>
    <row r="282" spans="1:16">
      <c r="A282" s="4" t="s">
        <v>70</v>
      </c>
      <c r="B282" s="4"/>
      <c r="C282" s="4"/>
      <c r="D282" s="4"/>
      <c r="E282" s="4"/>
    </row>
    <row r="283" spans="1:16">
      <c r="A283" s="4" t="s">
        <v>71</v>
      </c>
      <c r="B283" s="4"/>
      <c r="C283" s="4"/>
      <c r="D283" s="4"/>
      <c r="E283" s="4"/>
    </row>
    <row r="284" spans="1:16">
      <c r="A284" s="4" t="s">
        <v>228</v>
      </c>
      <c r="B284" s="4"/>
      <c r="C284" s="4"/>
      <c r="D284" s="4"/>
      <c r="E284" s="4"/>
    </row>
    <row r="285" spans="1:16">
      <c r="A285" s="4" t="s">
        <v>229</v>
      </c>
      <c r="B285" s="4"/>
      <c r="C285" s="4"/>
      <c r="D285" s="4"/>
      <c r="E285" s="4"/>
    </row>
    <row r="286" spans="1:16">
      <c r="A286" s="4" t="s">
        <v>230</v>
      </c>
      <c r="B286" s="4"/>
      <c r="C286" s="4"/>
      <c r="D286" s="4"/>
      <c r="E286" s="4"/>
    </row>
    <row r="287" spans="1:16">
      <c r="A287" s="3"/>
      <c r="B287" s="3"/>
      <c r="C287" s="3"/>
      <c r="D287" s="3"/>
      <c r="E287" s="3"/>
    </row>
    <row r="288" spans="1:16">
      <c r="A288" s="4" t="s">
        <v>72</v>
      </c>
      <c r="B288" s="4"/>
      <c r="C288" s="4"/>
      <c r="D288" s="4"/>
      <c r="E288" s="4"/>
    </row>
    <row r="289" spans="1:5">
      <c r="A289" s="4" t="s">
        <v>128</v>
      </c>
      <c r="B289" s="4"/>
      <c r="C289" s="4"/>
      <c r="D289" s="4"/>
      <c r="E289" s="4"/>
    </row>
    <row r="290" spans="1:5">
      <c r="A290" s="4" t="s">
        <v>328</v>
      </c>
      <c r="B290" s="4"/>
      <c r="C290" s="4"/>
      <c r="D290" s="4"/>
      <c r="E290" s="4"/>
    </row>
    <row r="291" spans="1:5">
      <c r="A291" s="4" t="s">
        <v>231</v>
      </c>
      <c r="B291" s="4"/>
      <c r="C291" s="4"/>
      <c r="D291" s="4"/>
      <c r="E291" s="4"/>
    </row>
    <row r="292" spans="1:5">
      <c r="A292" s="4" t="s">
        <v>232</v>
      </c>
      <c r="B292" s="4"/>
      <c r="C292" s="4"/>
      <c r="D292" s="4"/>
      <c r="E292" s="4"/>
    </row>
    <row r="293" spans="1:5">
      <c r="A293" s="4" t="s">
        <v>73</v>
      </c>
      <c r="B293" s="4"/>
      <c r="C293" s="4"/>
      <c r="D293" s="4"/>
      <c r="E293" s="4"/>
    </row>
    <row r="294" spans="1:5">
      <c r="A294" s="4" t="s">
        <v>129</v>
      </c>
      <c r="B294" s="4"/>
      <c r="C294" s="4"/>
      <c r="D294" s="4"/>
      <c r="E294" s="4"/>
    </row>
    <row r="295" spans="1:5">
      <c r="A295" s="4" t="s">
        <v>74</v>
      </c>
      <c r="B295" s="4"/>
      <c r="C295" s="4"/>
      <c r="D295" s="4"/>
      <c r="E295" s="4"/>
    </row>
    <row r="296" spans="1:5">
      <c r="A296" s="4" t="s">
        <v>130</v>
      </c>
      <c r="B296" s="4"/>
      <c r="C296" s="4"/>
      <c r="D296" s="4"/>
      <c r="E296" s="4"/>
    </row>
    <row r="297" spans="1:5">
      <c r="A297" s="49" t="s">
        <v>131</v>
      </c>
      <c r="B297" s="49"/>
      <c r="C297" s="49"/>
      <c r="D297" s="49"/>
      <c r="E297" s="49"/>
    </row>
    <row r="298" spans="1:5">
      <c r="A298" s="4" t="s">
        <v>233</v>
      </c>
      <c r="B298" s="4"/>
      <c r="C298" s="4"/>
      <c r="D298" s="4"/>
      <c r="E298" s="4"/>
    </row>
    <row r="299" spans="1:5">
      <c r="A299" s="49" t="s">
        <v>132</v>
      </c>
      <c r="B299" s="49"/>
      <c r="C299" s="49"/>
      <c r="D299" s="49"/>
      <c r="E299" s="49"/>
    </row>
    <row r="300" spans="1:5">
      <c r="A300" s="49" t="s">
        <v>133</v>
      </c>
      <c r="B300" s="49"/>
      <c r="C300" s="49"/>
      <c r="D300" s="49"/>
      <c r="E300" s="49"/>
    </row>
    <row r="301" spans="1:5">
      <c r="A301" s="49" t="s">
        <v>134</v>
      </c>
      <c r="B301" s="49"/>
      <c r="C301" s="49"/>
      <c r="D301" s="49"/>
      <c r="E301" s="49"/>
    </row>
    <row r="302" spans="1:5">
      <c r="A302" s="4" t="s">
        <v>135</v>
      </c>
      <c r="B302" s="4"/>
      <c r="C302" s="4"/>
      <c r="D302" s="4"/>
      <c r="E302" s="4"/>
    </row>
    <row r="303" spans="1:5">
      <c r="A303" s="4" t="s">
        <v>136</v>
      </c>
      <c r="B303" s="4"/>
      <c r="C303" s="4"/>
      <c r="D303" s="4"/>
      <c r="E303" s="4"/>
    </row>
    <row r="304" spans="1:5">
      <c r="A304" s="4" t="s">
        <v>234</v>
      </c>
      <c r="B304" s="4"/>
      <c r="C304" s="4"/>
      <c r="D304" s="4"/>
      <c r="E304" s="4"/>
    </row>
    <row r="305" spans="1:5">
      <c r="A305" s="4" t="s">
        <v>235</v>
      </c>
      <c r="B305" s="4"/>
      <c r="C305" s="4"/>
      <c r="D305" s="4"/>
      <c r="E305" s="4"/>
    </row>
    <row r="306" spans="1:5">
      <c r="A306" s="4" t="s">
        <v>236</v>
      </c>
      <c r="B306" s="4"/>
      <c r="C306" s="4"/>
      <c r="D306" s="4"/>
      <c r="E306" s="4"/>
    </row>
    <row r="307" spans="1:5">
      <c r="A307" s="4" t="s">
        <v>237</v>
      </c>
      <c r="B307" s="4"/>
      <c r="C307" s="4"/>
      <c r="D307" s="4"/>
      <c r="E307" s="4"/>
    </row>
    <row r="308" spans="1:5">
      <c r="A308" s="4" t="s">
        <v>238</v>
      </c>
      <c r="B308" s="4"/>
      <c r="C308" s="4"/>
      <c r="D308" s="4"/>
      <c r="E308" s="4"/>
    </row>
    <row r="309" spans="1:5">
      <c r="A309" s="4" t="s">
        <v>239</v>
      </c>
      <c r="B309" s="4"/>
      <c r="C309" s="4"/>
      <c r="D309" s="4"/>
      <c r="E309" s="4"/>
    </row>
    <row r="310" spans="1:5">
      <c r="A310" s="3"/>
      <c r="B310" s="3"/>
      <c r="C310" s="3"/>
      <c r="D310" s="3"/>
      <c r="E310" s="3"/>
    </row>
    <row r="311" spans="1:5">
      <c r="A311" s="4" t="s">
        <v>75</v>
      </c>
      <c r="B311" s="4"/>
      <c r="C311" s="4"/>
      <c r="D311" s="4"/>
      <c r="E311" s="4"/>
    </row>
    <row r="312" spans="1:5">
      <c r="A312" s="4" t="s">
        <v>76</v>
      </c>
      <c r="B312" s="4"/>
      <c r="C312" s="4"/>
      <c r="D312" s="4"/>
      <c r="E312" s="4"/>
    </row>
    <row r="313" spans="1:5">
      <c r="A313" s="4" t="s">
        <v>240</v>
      </c>
      <c r="B313" s="4"/>
      <c r="C313" s="4"/>
      <c r="D313" s="4"/>
      <c r="E313" s="4"/>
    </row>
    <row r="314" spans="1:5">
      <c r="A314" s="4" t="s">
        <v>241</v>
      </c>
      <c r="B314" s="4"/>
      <c r="C314" s="4"/>
      <c r="D314" s="4"/>
      <c r="E314" s="4"/>
    </row>
    <row r="315" spans="1:5">
      <c r="A315" s="4" t="s">
        <v>242</v>
      </c>
      <c r="B315" s="4"/>
      <c r="C315" s="4"/>
      <c r="D315" s="4"/>
      <c r="E315" s="4"/>
    </row>
    <row r="316" spans="1:5">
      <c r="A316" s="4" t="s">
        <v>243</v>
      </c>
      <c r="B316" s="4"/>
      <c r="C316" s="4"/>
      <c r="D316" s="4"/>
      <c r="E316" s="4"/>
    </row>
    <row r="317" spans="1:5">
      <c r="A317" s="4" t="s">
        <v>244</v>
      </c>
      <c r="B317" s="4"/>
      <c r="C317" s="4"/>
      <c r="D317" s="4"/>
      <c r="E317" s="4"/>
    </row>
    <row r="318" spans="1:5">
      <c r="A318" s="4" t="s">
        <v>245</v>
      </c>
      <c r="B318" s="4"/>
      <c r="C318" s="4"/>
      <c r="D318" s="4"/>
      <c r="E318" s="4"/>
    </row>
    <row r="319" spans="1:5">
      <c r="A319" s="4" t="s">
        <v>77</v>
      </c>
      <c r="B319" s="4"/>
      <c r="C319" s="4"/>
      <c r="D319" s="4"/>
      <c r="E319" s="4"/>
    </row>
    <row r="320" spans="1:5">
      <c r="A320" s="4" t="s">
        <v>246</v>
      </c>
      <c r="B320" s="4"/>
      <c r="C320" s="4"/>
      <c r="D320" s="4"/>
      <c r="E320" s="4"/>
    </row>
    <row r="321" spans="1:5">
      <c r="A321" s="4" t="s">
        <v>343</v>
      </c>
      <c r="B321" s="4"/>
      <c r="C321" s="4"/>
      <c r="D321" s="4"/>
      <c r="E321" s="4"/>
    </row>
    <row r="322" spans="1:5">
      <c r="A322" s="4" t="s">
        <v>247</v>
      </c>
      <c r="B322" s="4"/>
      <c r="C322" s="4"/>
      <c r="D322" s="4"/>
      <c r="E322" s="4"/>
    </row>
    <row r="323" spans="1:5">
      <c r="A323" s="4" t="s">
        <v>248</v>
      </c>
      <c r="B323" s="4"/>
      <c r="C323" s="4"/>
      <c r="D323" s="4"/>
      <c r="E323" s="4"/>
    </row>
    <row r="324" spans="1:5">
      <c r="A324" s="4" t="s">
        <v>78</v>
      </c>
      <c r="B324" s="4"/>
      <c r="C324" s="4"/>
      <c r="D324" s="4"/>
      <c r="E324" s="4"/>
    </row>
    <row r="325" spans="1:5" s="105" customFormat="1">
      <c r="A325" s="104" t="s">
        <v>324</v>
      </c>
      <c r="B325" s="104"/>
      <c r="C325" s="104"/>
      <c r="D325" s="104"/>
      <c r="E325" s="104"/>
    </row>
    <row r="326" spans="1:5" s="105" customFormat="1">
      <c r="A326" s="104" t="s">
        <v>325</v>
      </c>
      <c r="B326" s="104"/>
      <c r="C326" s="104"/>
      <c r="D326" s="104"/>
      <c r="E326" s="104"/>
    </row>
    <row r="327" spans="1:5" s="105" customFormat="1">
      <c r="A327" s="104" t="s">
        <v>295</v>
      </c>
      <c r="B327" s="104"/>
      <c r="C327" s="104"/>
      <c r="D327" s="104"/>
      <c r="E327" s="104"/>
    </row>
    <row r="328" spans="1:5" s="105" customFormat="1">
      <c r="A328" s="104" t="s">
        <v>296</v>
      </c>
      <c r="B328" s="104"/>
      <c r="C328" s="104"/>
      <c r="D328" s="104"/>
      <c r="E328" s="104"/>
    </row>
    <row r="329" spans="1:5" s="105" customFormat="1">
      <c r="A329" s="104" t="s">
        <v>297</v>
      </c>
      <c r="B329" s="104"/>
      <c r="C329" s="104"/>
      <c r="D329" s="104"/>
      <c r="E329" s="104"/>
    </row>
    <row r="330" spans="1:5">
      <c r="A330" s="3"/>
      <c r="B330" s="3"/>
      <c r="C330" s="3"/>
      <c r="D330" s="3"/>
      <c r="E330" s="3"/>
    </row>
    <row r="331" spans="1:5">
      <c r="A331" s="4" t="s">
        <v>79</v>
      </c>
      <c r="B331" s="4"/>
      <c r="C331" s="4"/>
      <c r="D331" s="4"/>
      <c r="E331" s="4"/>
    </row>
    <row r="332" spans="1:5">
      <c r="A332" s="4" t="s">
        <v>249</v>
      </c>
      <c r="B332" s="4"/>
      <c r="C332" s="4"/>
      <c r="D332" s="4"/>
      <c r="E332" s="4"/>
    </row>
    <row r="333" spans="1:5">
      <c r="A333" s="4" t="s">
        <v>250</v>
      </c>
      <c r="B333" s="4"/>
      <c r="C333" s="4"/>
      <c r="D333" s="4"/>
      <c r="E333" s="4"/>
    </row>
    <row r="334" spans="1:5">
      <c r="A334" s="8"/>
      <c r="B334" s="8"/>
      <c r="C334" s="8" t="s">
        <v>264</v>
      </c>
      <c r="D334" s="8"/>
      <c r="E334" s="8"/>
    </row>
    <row r="335" spans="1:5">
      <c r="A335" s="4"/>
      <c r="B335" s="4"/>
      <c r="C335" s="4" t="s">
        <v>362</v>
      </c>
      <c r="D335" s="4"/>
      <c r="E335" s="4"/>
    </row>
    <row r="336" spans="1:5">
      <c r="A336" s="4"/>
      <c r="B336" s="4"/>
      <c r="C336" s="4" t="s">
        <v>308</v>
      </c>
      <c r="D336" s="4"/>
      <c r="E336" s="4"/>
    </row>
    <row r="337" spans="1:14" ht="14.25" customHeight="1">
      <c r="A337" s="4" t="s">
        <v>80</v>
      </c>
      <c r="B337" s="4"/>
      <c r="C337" s="4"/>
      <c r="D337" s="4"/>
      <c r="E337" s="4"/>
    </row>
    <row r="338" spans="1:14" ht="18" customHeight="1">
      <c r="A338" s="100"/>
      <c r="B338" s="37" t="s">
        <v>81</v>
      </c>
      <c r="C338" s="101"/>
      <c r="D338" s="50" t="s">
        <v>309</v>
      </c>
      <c r="E338" s="50"/>
      <c r="F338" s="50"/>
      <c r="G338" s="50"/>
      <c r="H338" s="50"/>
      <c r="I338" s="51"/>
      <c r="J338" s="38" t="s">
        <v>317</v>
      </c>
      <c r="K338" s="38"/>
      <c r="L338" s="41"/>
      <c r="M338" s="41"/>
      <c r="N338" s="42"/>
    </row>
    <row r="339" spans="1:14" ht="18" customHeight="1">
      <c r="A339" s="100"/>
      <c r="B339" s="37" t="s">
        <v>82</v>
      </c>
      <c r="C339" s="101"/>
      <c r="D339" s="50" t="s">
        <v>83</v>
      </c>
      <c r="E339" s="50"/>
      <c r="F339" s="50"/>
      <c r="G339" s="50"/>
      <c r="H339" s="50"/>
      <c r="I339" s="51"/>
      <c r="J339" s="38" t="s">
        <v>84</v>
      </c>
      <c r="K339" s="38"/>
      <c r="L339" s="41"/>
      <c r="M339" s="41"/>
      <c r="N339" s="42"/>
    </row>
    <row r="340" spans="1:14" ht="18" customHeight="1">
      <c r="A340" s="100"/>
      <c r="B340" s="37" t="s">
        <v>310</v>
      </c>
      <c r="C340" s="101"/>
      <c r="D340" s="50" t="s">
        <v>311</v>
      </c>
      <c r="E340" s="50"/>
      <c r="F340" s="50"/>
      <c r="G340" s="50"/>
      <c r="H340" s="50"/>
      <c r="I340" s="51"/>
      <c r="J340" s="38" t="s">
        <v>318</v>
      </c>
      <c r="K340" s="38"/>
      <c r="L340" s="41"/>
      <c r="M340" s="41"/>
      <c r="N340" s="42"/>
    </row>
    <row r="341" spans="1:14" ht="18" customHeight="1">
      <c r="A341" s="100"/>
      <c r="B341" s="37" t="s">
        <v>312</v>
      </c>
      <c r="C341" s="101"/>
      <c r="D341" s="50" t="s">
        <v>313</v>
      </c>
      <c r="E341" s="50"/>
      <c r="F341" s="50"/>
      <c r="G341" s="50"/>
      <c r="H341" s="50"/>
      <c r="I341" s="51"/>
      <c r="J341" s="38" t="s">
        <v>319</v>
      </c>
      <c r="K341" s="38"/>
      <c r="L341" s="41"/>
      <c r="M341" s="41"/>
      <c r="N341" s="42"/>
    </row>
    <row r="342" spans="1:14" ht="18" customHeight="1">
      <c r="A342" s="100"/>
      <c r="B342" s="37" t="s">
        <v>85</v>
      </c>
      <c r="C342" s="101"/>
      <c r="D342" s="50" t="s">
        <v>314</v>
      </c>
      <c r="E342" s="50"/>
      <c r="F342" s="50"/>
      <c r="G342" s="50"/>
      <c r="H342" s="50"/>
      <c r="I342" s="51"/>
      <c r="J342" s="38" t="s">
        <v>320</v>
      </c>
      <c r="K342" s="38"/>
      <c r="L342" s="41"/>
      <c r="M342" s="41"/>
      <c r="N342" s="42"/>
    </row>
    <row r="343" spans="1:14" ht="18" customHeight="1">
      <c r="A343" s="100"/>
      <c r="B343" s="37" t="s">
        <v>315</v>
      </c>
      <c r="C343" s="101"/>
      <c r="D343" s="50" t="s">
        <v>316</v>
      </c>
      <c r="E343" s="50"/>
      <c r="F343" s="50"/>
      <c r="G343" s="50"/>
      <c r="H343" s="50"/>
      <c r="I343" s="51"/>
      <c r="J343" s="38" t="s">
        <v>321</v>
      </c>
      <c r="K343" s="38"/>
      <c r="L343" s="41"/>
      <c r="M343" s="41"/>
      <c r="N343" s="42"/>
    </row>
    <row r="344" spans="1:14" ht="18" customHeight="1">
      <c r="A344" s="100"/>
      <c r="B344" s="37"/>
      <c r="C344" s="101"/>
      <c r="D344" s="50"/>
      <c r="E344" s="50"/>
      <c r="F344" s="50"/>
      <c r="G344" s="50"/>
      <c r="H344" s="50"/>
      <c r="I344" s="51"/>
      <c r="J344" s="38"/>
      <c r="K344" s="38"/>
      <c r="L344" s="41"/>
      <c r="M344" s="41"/>
      <c r="N344" s="42"/>
    </row>
    <row r="345" spans="1:14" ht="16.5" customHeight="1">
      <c r="A345" s="108" t="s">
        <v>370</v>
      </c>
      <c r="B345" s="52"/>
      <c r="C345" s="52"/>
      <c r="D345" s="52"/>
      <c r="E345" s="52"/>
    </row>
    <row r="346" spans="1:14" ht="13.5" customHeight="1">
      <c r="A346" s="53" t="s">
        <v>148</v>
      </c>
      <c r="B346" s="53"/>
      <c r="C346" s="53"/>
      <c r="D346" s="53"/>
      <c r="E346" s="53"/>
    </row>
    <row r="347" spans="1:14" ht="13.5" customHeight="1">
      <c r="A347" s="53" t="s">
        <v>149</v>
      </c>
      <c r="B347" s="53"/>
      <c r="C347" s="53"/>
      <c r="D347" s="53"/>
      <c r="E347" s="53"/>
    </row>
    <row r="348" spans="1:14" ht="13.5" customHeight="1">
      <c r="A348" s="53" t="s">
        <v>360</v>
      </c>
      <c r="B348" s="53"/>
      <c r="C348" s="53"/>
      <c r="D348" s="53"/>
      <c r="E348" s="53"/>
    </row>
    <row r="349" spans="1:14" ht="13.5" customHeight="1">
      <c r="A349" s="53" t="s">
        <v>86</v>
      </c>
      <c r="B349" s="53"/>
      <c r="C349" s="53"/>
      <c r="D349" s="53"/>
      <c r="E349" s="53"/>
    </row>
    <row r="350" spans="1:14" ht="13.5" customHeight="1">
      <c r="A350" s="53" t="s">
        <v>342</v>
      </c>
      <c r="B350" s="53"/>
      <c r="C350" s="53"/>
      <c r="D350" s="53"/>
      <c r="E350" s="53"/>
    </row>
    <row r="351" spans="1:14" ht="13.5" customHeight="1">
      <c r="A351" s="53" t="s">
        <v>322</v>
      </c>
      <c r="B351" s="53"/>
      <c r="C351" s="53"/>
      <c r="D351" s="53"/>
      <c r="E351" s="53"/>
    </row>
    <row r="352" spans="1:14" ht="13.5" customHeight="1">
      <c r="A352" s="53" t="s">
        <v>363</v>
      </c>
      <c r="B352" s="53"/>
      <c r="C352" s="53"/>
      <c r="D352" s="53"/>
      <c r="E352" s="53"/>
    </row>
    <row r="353" spans="1:16" ht="13.5" customHeight="1">
      <c r="A353" s="53"/>
      <c r="B353" s="53"/>
      <c r="C353" s="53"/>
      <c r="D353" s="53"/>
      <c r="E353" s="53"/>
    </row>
    <row r="354" spans="1:16" ht="13.5" customHeight="1">
      <c r="A354" s="53" t="s">
        <v>87</v>
      </c>
      <c r="B354" s="53"/>
      <c r="C354" s="53"/>
      <c r="D354" s="53"/>
      <c r="E354" s="53"/>
    </row>
    <row r="355" spans="1:16" ht="13.5" customHeight="1">
      <c r="A355" s="53" t="s">
        <v>88</v>
      </c>
      <c r="B355" s="53"/>
      <c r="C355" s="53"/>
      <c r="D355" s="53"/>
      <c r="E355" s="53"/>
    </row>
    <row r="356" spans="1:16" ht="13.5" customHeight="1">
      <c r="A356" s="53" t="s">
        <v>89</v>
      </c>
      <c r="B356" s="53"/>
      <c r="C356" s="53"/>
      <c r="D356" s="53"/>
      <c r="E356" s="53"/>
    </row>
    <row r="357" spans="1:16" ht="13.5" customHeight="1">
      <c r="A357" s="53" t="s">
        <v>150</v>
      </c>
      <c r="B357" s="53"/>
      <c r="C357" s="53"/>
      <c r="D357" s="53"/>
      <c r="E357" s="53"/>
    </row>
    <row r="358" spans="1:16" ht="13.5" customHeight="1">
      <c r="A358" s="53" t="s">
        <v>151</v>
      </c>
      <c r="B358" s="53"/>
      <c r="C358" s="53"/>
      <c r="D358" s="53"/>
      <c r="E358" s="53"/>
    </row>
    <row r="359" spans="1:16" ht="13.5" customHeight="1">
      <c r="A359" s="53" t="s">
        <v>90</v>
      </c>
      <c r="B359" s="53"/>
      <c r="C359" s="53"/>
      <c r="D359" s="53"/>
      <c r="E359" s="53"/>
    </row>
    <row r="360" spans="1:16" ht="13.5" customHeight="1">
      <c r="A360" s="53"/>
      <c r="B360" s="53"/>
      <c r="C360" s="53"/>
      <c r="D360" s="53"/>
      <c r="E360" s="53"/>
    </row>
    <row r="361" spans="1:16" ht="13.5" customHeight="1">
      <c r="A361" s="53" t="s">
        <v>137</v>
      </c>
      <c r="B361" s="53"/>
      <c r="C361" s="53"/>
      <c r="D361" s="53"/>
      <c r="E361" s="53"/>
    </row>
    <row r="362" spans="1:16" ht="16.5">
      <c r="A362" s="54" t="s">
        <v>91</v>
      </c>
      <c r="B362" s="54"/>
      <c r="C362" s="54"/>
      <c r="D362" s="54"/>
      <c r="E362" s="54"/>
      <c r="F362" s="2"/>
      <c r="G362" s="2"/>
      <c r="H362" s="2"/>
      <c r="I362" s="2"/>
      <c r="J362" s="2"/>
      <c r="K362" s="2"/>
      <c r="L362" s="2"/>
      <c r="M362" s="2"/>
      <c r="N362" s="2"/>
      <c r="O362" s="2"/>
      <c r="P362" s="2"/>
    </row>
    <row r="363" spans="1:16" ht="18" customHeight="1">
      <c r="A363" s="55"/>
      <c r="B363" s="55"/>
      <c r="C363" s="55"/>
      <c r="D363" s="55"/>
      <c r="E363" s="55"/>
    </row>
    <row r="364" spans="1:16" ht="18" customHeight="1">
      <c r="A364" s="56"/>
      <c r="B364" s="56"/>
      <c r="C364" s="56"/>
      <c r="D364" s="56"/>
      <c r="E364" s="56"/>
    </row>
    <row r="365" spans="1:16" ht="18" customHeight="1">
      <c r="A365" s="57" t="s">
        <v>92</v>
      </c>
      <c r="B365" s="57"/>
      <c r="C365" s="57"/>
      <c r="D365" s="57"/>
      <c r="E365" s="57"/>
    </row>
    <row r="366" spans="1:16" ht="18" customHeight="1">
      <c r="A366" s="102" t="s">
        <v>93</v>
      </c>
      <c r="B366" s="58"/>
      <c r="C366" s="58"/>
      <c r="D366" s="58"/>
      <c r="E366" s="58"/>
      <c r="F366" s="58" t="s">
        <v>94</v>
      </c>
      <c r="G366" s="58"/>
      <c r="H366" s="58"/>
      <c r="I366" s="58"/>
      <c r="J366" s="58"/>
      <c r="K366" s="58"/>
      <c r="L366" s="58"/>
      <c r="M366" s="59"/>
      <c r="N366" s="59"/>
      <c r="O366" s="59"/>
      <c r="P366" s="60"/>
    </row>
    <row r="367" spans="1:16" ht="18" customHeight="1">
      <c r="A367" s="61">
        <v>1</v>
      </c>
      <c r="B367" s="62"/>
      <c r="C367" s="62" t="s">
        <v>139</v>
      </c>
      <c r="D367" s="62"/>
      <c r="E367" s="62"/>
      <c r="F367" s="62"/>
      <c r="G367" s="62"/>
      <c r="H367" s="62"/>
      <c r="I367" s="62"/>
      <c r="J367" s="62"/>
      <c r="K367" s="62"/>
      <c r="L367" s="62"/>
      <c r="M367" s="63"/>
      <c r="N367" s="63"/>
      <c r="O367" s="64"/>
      <c r="P367" s="65"/>
    </row>
    <row r="368" spans="1:16" ht="18" customHeight="1">
      <c r="A368" s="61"/>
      <c r="B368" s="62"/>
      <c r="C368" s="62"/>
      <c r="D368" s="62"/>
      <c r="E368" s="62"/>
      <c r="F368" s="62"/>
      <c r="G368" s="62"/>
      <c r="H368" s="62"/>
      <c r="I368" s="62"/>
      <c r="J368" s="62"/>
      <c r="K368" s="62"/>
      <c r="L368" s="62"/>
      <c r="M368" s="63"/>
      <c r="N368" s="63"/>
      <c r="O368" s="63"/>
      <c r="P368" s="66"/>
    </row>
    <row r="369" spans="1:16" ht="18" customHeight="1">
      <c r="A369" s="67"/>
      <c r="B369" s="68"/>
      <c r="C369" s="68"/>
      <c r="D369" s="68"/>
      <c r="E369" s="68"/>
      <c r="F369" s="68"/>
      <c r="G369" s="68"/>
      <c r="H369" s="68"/>
      <c r="I369" s="68"/>
      <c r="J369" s="68"/>
      <c r="K369" s="68"/>
      <c r="L369" s="68"/>
      <c r="M369" s="69"/>
      <c r="N369" s="69"/>
      <c r="O369" s="69"/>
      <c r="P369" s="70"/>
    </row>
    <row r="370" spans="1:16" ht="18" customHeight="1">
      <c r="A370" s="71">
        <v>2</v>
      </c>
      <c r="B370" s="72"/>
      <c r="C370" s="72" t="s">
        <v>140</v>
      </c>
      <c r="D370" s="72"/>
      <c r="E370" s="72"/>
      <c r="F370" s="72"/>
      <c r="G370" s="72"/>
      <c r="H370" s="72"/>
      <c r="I370" s="72"/>
      <c r="J370" s="72"/>
      <c r="K370" s="72"/>
      <c r="L370" s="72"/>
      <c r="M370" s="64"/>
      <c r="N370" s="64"/>
      <c r="O370" s="64"/>
      <c r="P370" s="65"/>
    </row>
    <row r="371" spans="1:16" ht="18" customHeight="1">
      <c r="A371" s="61"/>
      <c r="B371" s="62"/>
      <c r="C371" s="62"/>
      <c r="D371" s="62"/>
      <c r="E371" s="62"/>
      <c r="F371" s="62"/>
      <c r="G371" s="62"/>
      <c r="H371" s="62"/>
      <c r="I371" s="62"/>
      <c r="J371" s="62"/>
      <c r="K371" s="62"/>
      <c r="L371" s="62"/>
      <c r="M371" s="63"/>
      <c r="N371" s="63"/>
      <c r="O371" s="63"/>
      <c r="P371" s="66"/>
    </row>
    <row r="372" spans="1:16" ht="18" customHeight="1">
      <c r="A372" s="67"/>
      <c r="B372" s="68"/>
      <c r="C372" s="68"/>
      <c r="D372" s="68"/>
      <c r="E372" s="68"/>
      <c r="F372" s="68"/>
      <c r="G372" s="68"/>
      <c r="H372" s="68"/>
      <c r="I372" s="68"/>
      <c r="J372" s="68"/>
      <c r="K372" s="68"/>
      <c r="L372" s="68"/>
      <c r="M372" s="69"/>
      <c r="N372" s="69"/>
      <c r="O372" s="69"/>
      <c r="P372" s="70"/>
    </row>
    <row r="373" spans="1:16" ht="18" customHeight="1">
      <c r="A373" s="71">
        <v>3</v>
      </c>
      <c r="B373" s="72"/>
      <c r="C373" s="72" t="s">
        <v>141</v>
      </c>
      <c r="D373" s="72"/>
      <c r="E373" s="72"/>
      <c r="F373" s="72"/>
      <c r="G373" s="72"/>
      <c r="H373" s="72"/>
      <c r="I373" s="72"/>
      <c r="J373" s="72"/>
      <c r="K373" s="72"/>
      <c r="L373" s="72"/>
      <c r="M373" s="64"/>
      <c r="N373" s="64"/>
      <c r="O373" s="64"/>
      <c r="P373" s="65"/>
    </row>
    <row r="374" spans="1:16" ht="18" customHeight="1">
      <c r="A374" s="61"/>
      <c r="B374" s="62"/>
      <c r="C374" s="62"/>
      <c r="D374" s="62"/>
      <c r="E374" s="62"/>
      <c r="F374" s="62"/>
      <c r="G374" s="62"/>
      <c r="H374" s="62"/>
      <c r="I374" s="62"/>
      <c r="J374" s="62"/>
      <c r="K374" s="62"/>
      <c r="L374" s="62"/>
      <c r="M374" s="63"/>
      <c r="N374" s="63"/>
      <c r="O374" s="63"/>
      <c r="P374" s="66"/>
    </row>
    <row r="375" spans="1:16" ht="18" customHeight="1">
      <c r="A375" s="67"/>
      <c r="B375" s="68"/>
      <c r="C375" s="68"/>
      <c r="D375" s="68"/>
      <c r="E375" s="68"/>
      <c r="F375" s="68"/>
      <c r="G375" s="68"/>
      <c r="H375" s="68"/>
      <c r="I375" s="68"/>
      <c r="J375" s="68"/>
      <c r="K375" s="68"/>
      <c r="L375" s="68"/>
      <c r="M375" s="69"/>
      <c r="N375" s="69"/>
      <c r="O375" s="69"/>
      <c r="P375" s="70"/>
    </row>
    <row r="376" spans="1:16" ht="18" customHeight="1">
      <c r="A376" s="73"/>
      <c r="B376" s="73"/>
      <c r="C376" s="73"/>
      <c r="D376" s="73"/>
      <c r="E376" s="73"/>
      <c r="F376" s="73"/>
      <c r="G376" s="73"/>
      <c r="H376" s="73"/>
      <c r="I376" s="73"/>
      <c r="J376" s="62"/>
      <c r="K376" s="62"/>
      <c r="L376" s="73"/>
      <c r="M376" s="63"/>
      <c r="N376" s="63"/>
      <c r="O376" s="63"/>
      <c r="P376" s="74" t="s">
        <v>142</v>
      </c>
    </row>
    <row r="377" spans="1:16" ht="18" customHeight="1">
      <c r="A377" s="73"/>
      <c r="B377" s="73"/>
      <c r="C377" s="73"/>
      <c r="D377" s="73"/>
      <c r="E377" s="73"/>
      <c r="F377" s="73"/>
      <c r="G377" s="73"/>
      <c r="H377" s="73"/>
      <c r="I377" s="73"/>
      <c r="J377" s="75"/>
      <c r="K377" s="75"/>
      <c r="L377" s="73"/>
      <c r="M377" s="63"/>
      <c r="N377" s="63"/>
      <c r="O377" s="63"/>
      <c r="P377" s="76"/>
    </row>
    <row r="378" spans="1:16" ht="18" customHeight="1">
      <c r="A378" s="73"/>
      <c r="B378" s="73"/>
      <c r="C378" s="73"/>
      <c r="D378" s="73"/>
      <c r="E378" s="73"/>
      <c r="F378" s="73"/>
      <c r="G378" s="73"/>
      <c r="H378" s="73"/>
      <c r="I378" s="73"/>
      <c r="J378" s="75"/>
      <c r="K378" s="75"/>
      <c r="L378" s="73"/>
      <c r="M378" s="63"/>
      <c r="N378" s="63"/>
      <c r="O378" s="63"/>
      <c r="P378" s="77" t="s">
        <v>143</v>
      </c>
    </row>
    <row r="379" spans="1:16" ht="18" customHeight="1">
      <c r="A379" s="73"/>
      <c r="B379" s="73"/>
      <c r="C379" s="73"/>
      <c r="D379" s="73"/>
      <c r="E379" s="73"/>
      <c r="F379" s="73"/>
      <c r="G379" s="73"/>
      <c r="H379" s="73"/>
      <c r="I379" s="73"/>
      <c r="J379" s="78"/>
      <c r="K379" s="78"/>
      <c r="L379" s="73"/>
      <c r="M379" s="63"/>
      <c r="N379" s="63"/>
      <c r="O379" s="63"/>
      <c r="P379" s="79"/>
    </row>
    <row r="380" spans="1:16" ht="18" customHeight="1">
      <c r="A380" s="62"/>
      <c r="B380" s="62"/>
      <c r="C380" s="62"/>
      <c r="D380" s="62"/>
      <c r="E380" s="62"/>
      <c r="F380" s="63"/>
      <c r="G380" s="63"/>
      <c r="H380" s="63"/>
      <c r="I380" s="63"/>
      <c r="J380" s="63"/>
      <c r="K380" s="63"/>
      <c r="L380" s="63"/>
      <c r="M380" s="63"/>
      <c r="N380" s="63"/>
      <c r="O380" s="63"/>
      <c r="P380" s="63"/>
    </row>
    <row r="381" spans="1:16" ht="18" customHeight="1">
      <c r="A381" s="62" t="s">
        <v>282</v>
      </c>
      <c r="B381" s="62"/>
      <c r="C381" s="62"/>
      <c r="D381" s="62"/>
      <c r="E381" s="62"/>
      <c r="F381" s="63"/>
      <c r="G381" s="63"/>
      <c r="H381" s="63"/>
      <c r="I381" s="63"/>
      <c r="J381" s="63"/>
      <c r="K381" s="63"/>
      <c r="L381" s="63"/>
      <c r="M381" s="63"/>
      <c r="N381" s="63"/>
      <c r="O381" s="63"/>
      <c r="P381" s="63"/>
    </row>
    <row r="382" spans="1:16" ht="18" customHeight="1">
      <c r="A382" s="102" t="s">
        <v>93</v>
      </c>
      <c r="B382" s="58"/>
      <c r="C382" s="58"/>
      <c r="D382" s="58"/>
      <c r="E382" s="58"/>
      <c r="F382" s="58" t="s">
        <v>94</v>
      </c>
      <c r="G382" s="58"/>
      <c r="H382" s="58"/>
      <c r="I382" s="58"/>
      <c r="J382" s="58"/>
      <c r="K382" s="58"/>
      <c r="L382" s="58"/>
      <c r="M382" s="59"/>
      <c r="N382" s="59"/>
      <c r="O382" s="59"/>
      <c r="P382" s="60"/>
    </row>
    <row r="383" spans="1:16" ht="18" customHeight="1">
      <c r="A383" s="61">
        <v>1</v>
      </c>
      <c r="B383" s="62"/>
      <c r="C383" s="62" t="s">
        <v>144</v>
      </c>
      <c r="D383" s="62"/>
      <c r="E383" s="62"/>
      <c r="F383" s="62"/>
      <c r="G383" s="62"/>
      <c r="H383" s="62"/>
      <c r="I383" s="62"/>
      <c r="J383" s="62"/>
      <c r="K383" s="62"/>
      <c r="L383" s="62"/>
      <c r="M383" s="63"/>
      <c r="N383" s="63"/>
      <c r="O383" s="64"/>
      <c r="P383" s="65"/>
    </row>
    <row r="384" spans="1:16" ht="18" customHeight="1">
      <c r="A384" s="61"/>
      <c r="B384" s="62"/>
      <c r="C384" s="62"/>
      <c r="D384" s="62"/>
      <c r="E384" s="62"/>
      <c r="F384" s="62"/>
      <c r="G384" s="62"/>
      <c r="H384" s="62"/>
      <c r="I384" s="62"/>
      <c r="J384" s="62"/>
      <c r="K384" s="62"/>
      <c r="L384" s="62"/>
      <c r="M384" s="63"/>
      <c r="N384" s="63"/>
      <c r="O384" s="63"/>
      <c r="P384" s="66"/>
    </row>
    <row r="385" spans="1:16" ht="18" customHeight="1">
      <c r="A385" s="67"/>
      <c r="B385" s="68"/>
      <c r="C385" s="68"/>
      <c r="D385" s="68"/>
      <c r="E385" s="68"/>
      <c r="F385" s="68"/>
      <c r="G385" s="68"/>
      <c r="H385" s="68"/>
      <c r="I385" s="68"/>
      <c r="J385" s="68"/>
      <c r="K385" s="68"/>
      <c r="L385" s="68"/>
      <c r="M385" s="69"/>
      <c r="N385" s="69"/>
      <c r="O385" s="69"/>
      <c r="P385" s="70"/>
    </row>
    <row r="386" spans="1:16" ht="18" customHeight="1">
      <c r="A386" s="71">
        <v>2</v>
      </c>
      <c r="B386" s="72"/>
      <c r="C386" s="72" t="s">
        <v>145</v>
      </c>
      <c r="D386" s="72"/>
      <c r="E386" s="72"/>
      <c r="F386" s="72"/>
      <c r="G386" s="72"/>
      <c r="H386" s="72"/>
      <c r="I386" s="72"/>
      <c r="J386" s="72"/>
      <c r="K386" s="72"/>
      <c r="L386" s="72"/>
      <c r="M386" s="64"/>
      <c r="N386" s="64"/>
      <c r="O386" s="64"/>
      <c r="P386" s="65"/>
    </row>
    <row r="387" spans="1:16" ht="18" customHeight="1">
      <c r="A387" s="61"/>
      <c r="B387" s="62"/>
      <c r="C387" s="62"/>
      <c r="D387" s="62"/>
      <c r="E387" s="62"/>
      <c r="F387" s="62"/>
      <c r="G387" s="62"/>
      <c r="H387" s="62"/>
      <c r="I387" s="62"/>
      <c r="J387" s="62"/>
      <c r="K387" s="62"/>
      <c r="L387" s="62"/>
      <c r="M387" s="63"/>
      <c r="N387" s="63"/>
      <c r="O387" s="63"/>
      <c r="P387" s="66"/>
    </row>
    <row r="388" spans="1:16" ht="18" customHeight="1">
      <c r="A388" s="67"/>
      <c r="B388" s="68"/>
      <c r="C388" s="68"/>
      <c r="D388" s="68"/>
      <c r="E388" s="68"/>
      <c r="F388" s="68"/>
      <c r="G388" s="68"/>
      <c r="H388" s="68"/>
      <c r="I388" s="68"/>
      <c r="J388" s="68"/>
      <c r="K388" s="68"/>
      <c r="L388" s="68"/>
      <c r="M388" s="69"/>
      <c r="N388" s="69"/>
      <c r="O388" s="69"/>
      <c r="P388" s="70"/>
    </row>
    <row r="389" spans="1:16" ht="18" customHeight="1">
      <c r="A389" s="73"/>
      <c r="B389" s="73"/>
      <c r="C389" s="73"/>
      <c r="D389" s="73"/>
      <c r="E389" s="73"/>
      <c r="F389" s="73"/>
      <c r="G389" s="73"/>
      <c r="H389" s="73"/>
      <c r="I389" s="73"/>
      <c r="J389" s="62"/>
      <c r="K389" s="62"/>
      <c r="L389" s="73"/>
      <c r="M389" s="63"/>
      <c r="N389" s="63"/>
      <c r="O389" s="63"/>
      <c r="P389" s="74" t="s">
        <v>142</v>
      </c>
    </row>
    <row r="390" spans="1:16" ht="18" customHeight="1">
      <c r="A390" s="73"/>
      <c r="B390" s="73"/>
      <c r="C390" s="73"/>
      <c r="D390" s="73"/>
      <c r="E390" s="73"/>
      <c r="F390" s="73"/>
      <c r="G390" s="73"/>
      <c r="H390" s="73"/>
      <c r="I390" s="73"/>
      <c r="J390" s="75"/>
      <c r="K390" s="75"/>
      <c r="L390" s="73"/>
      <c r="M390" s="63"/>
      <c r="N390" s="63"/>
      <c r="O390" s="63"/>
      <c r="P390" s="76"/>
    </row>
    <row r="391" spans="1:16" ht="18" customHeight="1">
      <c r="A391" s="73"/>
      <c r="B391" s="73"/>
      <c r="C391" s="73"/>
      <c r="D391" s="73"/>
      <c r="E391" s="73"/>
      <c r="F391" s="73"/>
      <c r="G391" s="73"/>
      <c r="H391" s="73"/>
      <c r="I391" s="73"/>
      <c r="J391" s="75"/>
      <c r="K391" s="75"/>
      <c r="L391" s="73"/>
      <c r="M391" s="63"/>
      <c r="N391" s="63"/>
      <c r="O391" s="63"/>
      <c r="P391" s="77" t="s">
        <v>143</v>
      </c>
    </row>
    <row r="392" spans="1:16" ht="18" customHeight="1">
      <c r="A392" s="73"/>
      <c r="B392" s="73"/>
      <c r="C392" s="73"/>
      <c r="D392" s="73"/>
      <c r="E392" s="73"/>
      <c r="F392" s="73"/>
      <c r="G392" s="73"/>
      <c r="H392" s="73"/>
      <c r="I392" s="73"/>
      <c r="J392" s="78"/>
      <c r="K392" s="78"/>
      <c r="L392" s="73"/>
      <c r="M392" s="63"/>
      <c r="N392" s="63"/>
      <c r="O392" s="63"/>
      <c r="P392" s="77"/>
    </row>
    <row r="393" spans="1:16" ht="18" customHeight="1">
      <c r="A393" s="73"/>
      <c r="B393" s="73"/>
      <c r="C393" s="73"/>
      <c r="D393" s="73"/>
      <c r="E393" s="73"/>
      <c r="F393" s="73"/>
      <c r="G393" s="73"/>
      <c r="H393" s="73"/>
      <c r="I393" s="73"/>
      <c r="J393" s="75"/>
      <c r="K393" s="75"/>
      <c r="L393" s="73"/>
      <c r="M393" s="63"/>
      <c r="N393" s="63"/>
      <c r="O393" s="63"/>
      <c r="P393" s="64"/>
    </row>
    <row r="394" spans="1:16" ht="18" customHeight="1">
      <c r="A394" s="62" t="s">
        <v>95</v>
      </c>
      <c r="B394" s="62"/>
      <c r="C394" s="62"/>
      <c r="D394" s="62"/>
      <c r="E394" s="62"/>
      <c r="F394" s="63"/>
      <c r="G394" s="63"/>
      <c r="H394" s="63"/>
      <c r="I394" s="63"/>
      <c r="J394" s="63"/>
      <c r="K394" s="63"/>
      <c r="L394" s="63"/>
      <c r="M394" s="63"/>
      <c r="N394" s="63"/>
      <c r="O394" s="63"/>
      <c r="P394" s="63"/>
    </row>
    <row r="395" spans="1:16" ht="18" customHeight="1">
      <c r="A395" s="102" t="s">
        <v>93</v>
      </c>
      <c r="B395" s="58"/>
      <c r="C395" s="58"/>
      <c r="D395" s="58"/>
      <c r="E395" s="58"/>
      <c r="F395" s="58" t="s">
        <v>94</v>
      </c>
      <c r="G395" s="58"/>
      <c r="H395" s="58"/>
      <c r="I395" s="58"/>
      <c r="J395" s="58"/>
      <c r="K395" s="58"/>
      <c r="L395" s="58"/>
      <c r="M395" s="59"/>
      <c r="N395" s="59"/>
      <c r="O395" s="59"/>
      <c r="P395" s="60"/>
    </row>
    <row r="396" spans="1:16" ht="18" customHeight="1">
      <c r="A396" s="61">
        <v>1</v>
      </c>
      <c r="B396" s="62"/>
      <c r="C396" s="62" t="s">
        <v>146</v>
      </c>
      <c r="D396" s="62"/>
      <c r="E396" s="62"/>
      <c r="F396" s="62"/>
      <c r="G396" s="62"/>
      <c r="H396" s="62"/>
      <c r="I396" s="62"/>
      <c r="J396" s="62"/>
      <c r="K396" s="62"/>
      <c r="L396" s="62"/>
      <c r="M396" s="63"/>
      <c r="N396" s="63"/>
      <c r="O396" s="64"/>
      <c r="P396" s="65"/>
    </row>
    <row r="397" spans="1:16" ht="18" customHeight="1">
      <c r="A397" s="61"/>
      <c r="B397" s="62"/>
      <c r="C397" s="62"/>
      <c r="D397" s="62"/>
      <c r="E397" s="62"/>
      <c r="F397" s="62"/>
      <c r="G397" s="62"/>
      <c r="H397" s="62"/>
      <c r="I397" s="62"/>
      <c r="J397" s="62"/>
      <c r="K397" s="62"/>
      <c r="L397" s="62"/>
      <c r="M397" s="63"/>
      <c r="N397" s="63"/>
      <c r="O397" s="63"/>
      <c r="P397" s="66"/>
    </row>
    <row r="398" spans="1:16" ht="18" customHeight="1">
      <c r="A398" s="67"/>
      <c r="B398" s="68"/>
      <c r="C398" s="68"/>
      <c r="D398" s="68"/>
      <c r="E398" s="68"/>
      <c r="F398" s="68"/>
      <c r="G398" s="68"/>
      <c r="H398" s="68"/>
      <c r="I398" s="68"/>
      <c r="J398" s="68"/>
      <c r="K398" s="68"/>
      <c r="L398" s="68"/>
      <c r="M398" s="69"/>
      <c r="N398" s="69"/>
      <c r="O398" s="69"/>
      <c r="P398" s="70"/>
    </row>
    <row r="399" spans="1:16" ht="18" customHeight="1">
      <c r="A399" s="71">
        <v>2</v>
      </c>
      <c r="B399" s="72"/>
      <c r="C399" s="72" t="s">
        <v>147</v>
      </c>
      <c r="D399" s="72"/>
      <c r="E399" s="72"/>
      <c r="F399" s="72"/>
      <c r="G399" s="72"/>
      <c r="H399" s="72"/>
      <c r="I399" s="72"/>
      <c r="J399" s="72"/>
      <c r="K399" s="72"/>
      <c r="L399" s="72"/>
      <c r="M399" s="64"/>
      <c r="N399" s="64"/>
      <c r="O399" s="64"/>
      <c r="P399" s="65"/>
    </row>
    <row r="400" spans="1:16" ht="18" customHeight="1">
      <c r="A400" s="61"/>
      <c r="B400" s="62"/>
      <c r="C400" s="62"/>
      <c r="D400" s="62"/>
      <c r="E400" s="62"/>
      <c r="F400" s="62"/>
      <c r="G400" s="62"/>
      <c r="H400" s="62"/>
      <c r="I400" s="62"/>
      <c r="J400" s="62"/>
      <c r="K400" s="62"/>
      <c r="L400" s="62"/>
      <c r="M400" s="63"/>
      <c r="N400" s="63"/>
      <c r="O400" s="63"/>
      <c r="P400" s="66"/>
    </row>
    <row r="401" spans="1:16" ht="18" customHeight="1">
      <c r="A401" s="67"/>
      <c r="B401" s="68"/>
      <c r="C401" s="68"/>
      <c r="D401" s="68"/>
      <c r="E401" s="68"/>
      <c r="F401" s="68"/>
      <c r="G401" s="68"/>
      <c r="H401" s="68"/>
      <c r="I401" s="68"/>
      <c r="J401" s="68"/>
      <c r="K401" s="68"/>
      <c r="L401" s="68"/>
      <c r="M401" s="69"/>
      <c r="N401" s="69"/>
      <c r="O401" s="69"/>
      <c r="P401" s="70"/>
    </row>
    <row r="402" spans="1:16" ht="18" customHeight="1">
      <c r="A402" s="73"/>
      <c r="B402" s="73"/>
      <c r="C402" s="73"/>
      <c r="D402" s="73"/>
      <c r="E402" s="73"/>
      <c r="F402" s="73"/>
      <c r="G402" s="73"/>
      <c r="H402" s="73"/>
      <c r="I402" s="73"/>
      <c r="J402" s="62"/>
      <c r="K402" s="62"/>
      <c r="L402" s="73"/>
      <c r="M402" s="63"/>
      <c r="N402" s="63"/>
      <c r="O402" s="63"/>
      <c r="P402" s="74" t="s">
        <v>142</v>
      </c>
    </row>
    <row r="403" spans="1:16" ht="18" customHeight="1">
      <c r="A403" s="73"/>
      <c r="B403" s="73"/>
      <c r="C403" s="73"/>
      <c r="D403" s="73"/>
      <c r="E403" s="73"/>
      <c r="F403" s="73"/>
      <c r="G403" s="73"/>
      <c r="H403" s="73"/>
      <c r="I403" s="73"/>
      <c r="J403" s="75"/>
      <c r="K403" s="75"/>
      <c r="L403" s="73"/>
      <c r="M403" s="63"/>
      <c r="N403" s="63"/>
      <c r="O403" s="63"/>
      <c r="P403" s="76"/>
    </row>
    <row r="404" spans="1:16" ht="18" customHeight="1">
      <c r="A404" s="73"/>
      <c r="B404" s="73"/>
      <c r="C404" s="73"/>
      <c r="D404" s="73"/>
      <c r="E404" s="73"/>
      <c r="F404" s="73"/>
      <c r="G404" s="73"/>
      <c r="H404" s="73"/>
      <c r="I404" s="73"/>
      <c r="J404" s="78"/>
      <c r="K404" s="78"/>
      <c r="L404" s="73"/>
      <c r="M404" s="63"/>
      <c r="N404" s="63"/>
      <c r="O404" s="63"/>
      <c r="P404" s="77" t="s">
        <v>143</v>
      </c>
    </row>
    <row r="405" spans="1:16" ht="18" customHeight="1">
      <c r="A405" s="73"/>
      <c r="B405" s="73"/>
      <c r="C405" s="73"/>
      <c r="D405" s="73"/>
      <c r="E405" s="73"/>
      <c r="F405" s="73"/>
      <c r="G405" s="73"/>
      <c r="H405" s="73"/>
      <c r="I405" s="73"/>
      <c r="J405" s="78"/>
      <c r="K405" s="78"/>
      <c r="L405" s="73"/>
      <c r="M405" s="63"/>
      <c r="N405" s="63"/>
      <c r="O405" s="63"/>
      <c r="P405" s="77"/>
    </row>
    <row r="406" spans="1:16" ht="1.1499999999999999" customHeight="1">
      <c r="A406" s="73"/>
      <c r="B406" s="73"/>
      <c r="C406" s="73"/>
      <c r="D406" s="73"/>
      <c r="E406" s="73"/>
      <c r="F406" s="73"/>
      <c r="G406" s="73"/>
      <c r="H406" s="73"/>
      <c r="I406" s="73"/>
      <c r="J406" s="75"/>
      <c r="K406" s="75"/>
      <c r="L406" s="73"/>
      <c r="M406" s="63"/>
      <c r="N406" s="63"/>
      <c r="O406" s="63"/>
      <c r="P406" s="64"/>
    </row>
  </sheetData>
  <sheetProtection selectLockedCells="1"/>
  <mergeCells count="52">
    <mergeCell ref="M77:N77"/>
    <mergeCell ref="O77:P77"/>
    <mergeCell ref="A75:C75"/>
    <mergeCell ref="D75:I75"/>
    <mergeCell ref="J75:K75"/>
    <mergeCell ref="M75:N75"/>
    <mergeCell ref="O75:P75"/>
    <mergeCell ref="A76:C76"/>
    <mergeCell ref="D76:I76"/>
    <mergeCell ref="J76:K76"/>
    <mergeCell ref="M76:N76"/>
    <mergeCell ref="O76:P76"/>
    <mergeCell ref="A73:C73"/>
    <mergeCell ref="D73:I73"/>
    <mergeCell ref="J73:K73"/>
    <mergeCell ref="M73:N73"/>
    <mergeCell ref="O73:P73"/>
    <mergeCell ref="A74:C74"/>
    <mergeCell ref="D74:I74"/>
    <mergeCell ref="J74:K74"/>
    <mergeCell ref="M74:N74"/>
    <mergeCell ref="O74:P74"/>
    <mergeCell ref="A71:C71"/>
    <mergeCell ref="D71:I71"/>
    <mergeCell ref="J71:K71"/>
    <mergeCell ref="M71:N71"/>
    <mergeCell ref="O71:P71"/>
    <mergeCell ref="A72:C72"/>
    <mergeCell ref="D72:I72"/>
    <mergeCell ref="J72:K72"/>
    <mergeCell ref="M72:N72"/>
    <mergeCell ref="O72:P72"/>
    <mergeCell ref="A69:C69"/>
    <mergeCell ref="D69:I69"/>
    <mergeCell ref="J69:K69"/>
    <mergeCell ref="M69:N69"/>
    <mergeCell ref="O69:P69"/>
    <mergeCell ref="A70:C70"/>
    <mergeCell ref="D70:I70"/>
    <mergeCell ref="J70:K70"/>
    <mergeCell ref="M70:N70"/>
    <mergeCell ref="O70:P70"/>
    <mergeCell ref="A67:C67"/>
    <mergeCell ref="D67:I67"/>
    <mergeCell ref="J67:K67"/>
    <mergeCell ref="M67:N67"/>
    <mergeCell ref="O67:P67"/>
    <mergeCell ref="A68:C68"/>
    <mergeCell ref="D68:I68"/>
    <mergeCell ref="J68:K68"/>
    <mergeCell ref="M68:N68"/>
    <mergeCell ref="O68:P68"/>
  </mergeCells>
  <phoneticPr fontId="39"/>
  <printOptions horizontalCentered="1" verticalCentered="1"/>
  <pageMargins left="0" right="0" top="0.35433070866141736" bottom="0.55118110236220474" header="0.31496062992125984" footer="0.31496062992125984"/>
  <pageSetup paperSize="9" fitToHeight="0" orientation="portrait" r:id="rId1"/>
  <headerFooter>
    <oddFooter>&amp;C&amp;P</oddFooter>
  </headerFooter>
  <rowBreaks count="4" manualBreakCount="4">
    <brk id="59" max="16" man="1"/>
    <brk id="181" max="16" man="1"/>
    <brk id="244" max="16383" man="1"/>
    <brk id="361" max="16383" man="1"/>
  </rowBreaks>
  <colBreaks count="1" manualBreakCount="1">
    <brk id="15" max="1048575" man="1"/>
  </colBreaks>
  <legacyDrawing r:id="rId2"/>
</worksheet>
</file>

<file path=docProps/app.xml><?xml version="1.0" encoding="utf-8"?>
<Properties xmlns="http://schemas.openxmlformats.org/officeDocument/2006/extended-properties" xmlns:vt="http://schemas.openxmlformats.org/officeDocument/2006/docPropsVTypes">
  <TotalTime>309</TotalTime>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入力用フォーマット</vt:lpstr>
      <vt:lpstr>口座振替の案内</vt:lpstr>
      <vt:lpstr>2020.06.17~【最新】介護R契約書（約款変更・3割・新</vt:lpstr>
      <vt:lpstr>鶴岡さん印刷用</vt:lpstr>
      <vt:lpstr>澤田さん空印刷用</vt:lpstr>
      <vt:lpstr>'2020.06.17~【最新】介護R契約書（約款変更・3割・新'!Print_Area</vt:lpstr>
      <vt:lpstr>口座振替の案内!Print_Area</vt:lpstr>
      <vt:lpstr>鶴岡さん印刷用!Print_Area</vt:lpstr>
      <vt:lpstr>入力用フォーマット!Print_Area</vt:lpstr>
      <vt:lpstr>澤田さん空印刷用!Print_Area</vt:lpstr>
    </vt:vector>
  </TitlesOfParts>
  <Company>ＫＴサービス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【契約書別紙】</dc:title>
  <dc:creator>小高</dc:creator>
  <cp:lastModifiedBy>憲史 堂面</cp:lastModifiedBy>
  <cp:revision>2</cp:revision>
  <cp:lastPrinted>2024-03-13T03:49:23Z</cp:lastPrinted>
  <dcterms:created xsi:type="dcterms:W3CDTF">2019-02-07T08:10:00Z</dcterms:created>
  <dcterms:modified xsi:type="dcterms:W3CDTF">2026-03-29T10:27:51Z</dcterms:modified>
</cp:coreProperties>
</file>