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en-PC\Downloads\"/>
    </mc:Choice>
  </mc:AlternateContent>
  <xr:revisionPtr revIDLastSave="0" documentId="8_{2A640CA9-0E06-47C0-B9D8-BD8A1CEE8230}" xr6:coauthVersionLast="47" xr6:coauthVersionMax="47" xr10:uidLastSave="{00000000-0000-0000-0000-000000000000}"/>
  <bookViews>
    <workbookView xWindow="-110" yWindow="-110" windowWidth="19420" windowHeight="11500" xr2:uid="{B26844F1-0517-45F6-AE74-68946DABC988}"/>
  </bookViews>
  <sheets>
    <sheet name="別紙" sheetId="1" r:id="rId1"/>
  </sheets>
  <externalReferences>
    <externalReference r:id="rId2"/>
  </externalReferences>
  <definedNames>
    <definedName name="_xlnm.Print_Area" localSheetId="0">別紙!$A$1:$H$51</definedName>
    <definedName name="TrackOnA">[1]基本情報!$N$3,[1]基本情報!$O$3,[1]基本情報!$S$3,[1]基本情報!$R$3,[1]基本情報!$T$3,[1]基本情報!$B$3,[1]基本情報!$C$3,[1]基本情報!$D$3,[1]基本情報!$E$3,[1]基本情報!$F$3,[1]基本情報!$I$3,[1]基本情報!$J$3,[1]基本情報!$K$3,[1]基本情報!$B$5,[1]基本情報!$H$6,[1]基本情報!$T$5,[1]基本情報!$Q$5,[1]基本情報!$K$5,[1]基本情報!$L$8,[1]基本情報!$K$9,[1]基本情報!$J$9,[1]基本情報!$B$8,[1]基本情報!$C$12:$D$18,[1]基本情報!$E$12,[1]基本情報!$E$16,[1]基本情報!$L$12,[1]基本情報!$S$12,[1]基本情報!$S$13,[1]基本情報!$M$16,[1]基本情報!$M$17,[1]基本情報!$M$18,[1]基本情報!$O$16,[1]基本情報!$O$17,[1]基本情報!$O$18,[1]基本情報!$P$16,[1]基本情報!$P$17,[1]基本情報!$P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E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G10" i="1"/>
  <c r="A8" i="1"/>
  <c r="A4" i="1"/>
</calcChain>
</file>

<file path=xl/sharedStrings.xml><?xml version="1.0" encoding="utf-8"?>
<sst xmlns="http://schemas.openxmlformats.org/spreadsheetml/2006/main" count="36" uniqueCount="33">
  <si>
    <t>　　　　　　　　　　　　　　　　　　　　　　　　　　　　　　　　　　　　　　　　　　　　　</t>
  </si>
  <si>
    <t>契約書別紙</t>
  </si>
  <si>
    <t>様</t>
    <rPh sb="0" eb="1">
      <t>サマ</t>
    </rPh>
    <phoneticPr fontId="3"/>
  </si>
  <si>
    <t>利用料金の変更がありましたので、新たに契約書別紙を取り交わさせて頂きます。</t>
  </si>
  <si>
    <t>種目</t>
    <rPh sb="0" eb="2">
      <t>シュモク</t>
    </rPh>
    <phoneticPr fontId="3"/>
  </si>
  <si>
    <t>商品名</t>
    <rPh sb="0" eb="2">
      <t>ショウヒン</t>
    </rPh>
    <rPh sb="2" eb="3">
      <t>メイ</t>
    </rPh>
    <phoneticPr fontId="3"/>
  </si>
  <si>
    <t>利用者負担額</t>
    <rPh sb="0" eb="3">
      <t>リヨウシャ</t>
    </rPh>
    <rPh sb="3" eb="6">
      <t>フタンガク</t>
    </rPh>
    <phoneticPr fontId="3"/>
  </si>
  <si>
    <t>数量</t>
    <rPh sb="0" eb="2">
      <t>スウリョウ</t>
    </rPh>
    <phoneticPr fontId="3"/>
  </si>
  <si>
    <t>月利用者負担</t>
    <rPh sb="0" eb="1">
      <t>ガツ</t>
    </rPh>
    <rPh sb="1" eb="4">
      <t>リヨウシャ</t>
    </rPh>
    <rPh sb="4" eb="6">
      <t>フタン</t>
    </rPh>
    <phoneticPr fontId="3"/>
  </si>
  <si>
    <t>特殊寝台付属品</t>
  </si>
  <si>
    <t>サイドレール K S- 161Q 2本</t>
  </si>
  <si>
    <t>サイドレール KS-151Q 1本</t>
  </si>
  <si>
    <t>ﾃｲｺﾌﾞ移乗用介助ﾍﾞﾙﾄ(AB31)</t>
  </si>
  <si>
    <t>合計</t>
    <rPh sb="0" eb="2">
      <t>ゴウケイ</t>
    </rPh>
    <phoneticPr fontId="3"/>
  </si>
  <si>
    <t>　（１）介護保険の適用がある場合は、料金表のサービス費の1割もしくは２割又は3割が利用者負担金となります。</t>
    <phoneticPr fontId="3"/>
  </si>
  <si>
    <t>　（２）利用者負担金は契約開始月については使用月末締めの翌々月６日にご指定の金融機関の口座から引き落としをさ</t>
    <phoneticPr fontId="3"/>
  </si>
  <si>
    <t>　　　 せていただきます。（注）金融機関休業日の場合は翌営業日となります。</t>
    <phoneticPr fontId="3"/>
  </si>
  <si>
    <t xml:space="preserve">  （３）尚、契約起算日が月の１５日以前の場合においては月額の全額を、１６日以降の場合においては１/２の料金を請求</t>
    <phoneticPr fontId="3"/>
  </si>
  <si>
    <t xml:space="preserve">        させていただきます。解約の場合も同様に月の１５日以前の解約については月額の１/２を、１６日以降の解約について</t>
    <phoneticPr fontId="3"/>
  </si>
  <si>
    <t xml:space="preserve">        は１ヶ月分の料金を請求させていただきます。</t>
    <phoneticPr fontId="3"/>
  </si>
  <si>
    <t>　　別紙（介護予防）福祉用具貸与サービス契約約款及び本書の契約内容を証するため、本書２通を作成し、利用者、事業者</t>
    <phoneticPr fontId="3"/>
  </si>
  <si>
    <t>が署名押印の上、各自１通保有するものとします。</t>
    <phoneticPr fontId="3"/>
  </si>
  <si>
    <t>　　同様に、介護保険制度にて義務づけられているサービス担当者会議の開催と必要と認められる場合において、利用者様</t>
    <phoneticPr fontId="3"/>
  </si>
  <si>
    <t>の個人情報を用いることについての説明を受け、同意するものといたします。</t>
    <phoneticPr fontId="3"/>
  </si>
  <si>
    <t>令和　　　　　年　　　　　月　　　　　日</t>
    <phoneticPr fontId="3"/>
  </si>
  <si>
    <t>　　</t>
  </si>
  <si>
    <r>
      <t xml:space="preserve">契約者住所 </t>
    </r>
    <r>
      <rPr>
        <u/>
        <sz val="10"/>
        <rFont val="ＭＳ Ｐゴシック"/>
        <family val="3"/>
        <charset val="128"/>
      </rPr>
      <t>　　　　　　　　　　　　　　　　　　　　　　　　　　　　　　　　　　　　　　　　　　　　　　　.</t>
    </r>
    <rPh sb="0" eb="3">
      <t>ケイヤクシャ</t>
    </rPh>
    <rPh sb="3" eb="5">
      <t>ジュウショ</t>
    </rPh>
    <phoneticPr fontId="3"/>
  </si>
  <si>
    <r>
      <t>氏　　　名　　</t>
    </r>
    <r>
      <rPr>
        <u/>
        <sz val="10"/>
        <rFont val="ＭＳ Ｐゴシック"/>
        <family val="3"/>
        <charset val="128"/>
      </rPr>
      <t>　　　　　　　　　　　　　　　　　　　　　　　　　　　　　　　　　　　　　　　　　　　　　印</t>
    </r>
    <phoneticPr fontId="3"/>
  </si>
  <si>
    <r>
      <t>代理人署名　　</t>
    </r>
    <r>
      <rPr>
        <u/>
        <sz val="10"/>
        <rFont val="ＭＳ Ｐゴシック"/>
        <family val="3"/>
        <charset val="128"/>
      </rPr>
      <t>　　　　　　　　　　　　　　　　　　　　　　　　　　　　　　　　　　　　　　　　　　　印</t>
    </r>
  </si>
  <si>
    <t>事　業　者</t>
  </si>
  <si>
    <r>
      <t>　　　　＜事業所名＞　株式会社　</t>
    </r>
    <r>
      <rPr>
        <sz val="10"/>
        <color rgb="FFED0000"/>
        <rFont val="ＭＳ Ｐゴシック"/>
        <family val="3"/>
        <charset val="128"/>
      </rPr>
      <t>ケイ・ティ・サービス　　Hana福祉用具花見川</t>
    </r>
    <rPh sb="32" eb="39">
      <t>フクシヨウグハナミガワ</t>
    </rPh>
    <phoneticPr fontId="3"/>
  </si>
  <si>
    <r>
      <t xml:space="preserve">        ＜住    所＞　千葉県</t>
    </r>
    <r>
      <rPr>
        <sz val="10"/>
        <color rgb="FFED0000"/>
        <rFont val="ＭＳ Ｐゴシック"/>
        <family val="3"/>
        <charset val="128"/>
      </rPr>
      <t>千葉市花見川区幕張本郷２－４１－５　　　</t>
    </r>
    <rPh sb="20" eb="23">
      <t>チバシ</t>
    </rPh>
    <rPh sb="23" eb="27">
      <t>ハナミガワク</t>
    </rPh>
    <rPh sb="27" eb="29">
      <t>マクハリ</t>
    </rPh>
    <rPh sb="29" eb="31">
      <t>ホンゴウ</t>
    </rPh>
    <phoneticPr fontId="3"/>
  </si>
  <si>
    <t>　　　　＜管理者名＞　　　　中　山　　健　司　　　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</si>
</sst>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0.5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10"/>
      <color rgb="FFED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 wrapText="1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176" fontId="14" fillId="0" borderId="9" xfId="0" applyNumberFormat="1" applyFont="1" applyBorder="1" applyAlignment="1">
      <alignment horizontal="right" vertical="center" wrapText="1"/>
    </xf>
    <xf numFmtId="0" fontId="14" fillId="0" borderId="8" xfId="0" applyFont="1" applyBorder="1" applyAlignment="1">
      <alignment horizontal="center" vertical="center" wrapText="1"/>
    </xf>
    <xf numFmtId="176" fontId="14" fillId="0" borderId="10" xfId="0" applyNumberFormat="1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38" fontId="0" fillId="0" borderId="0" xfId="0" applyNumberFormat="1">
      <alignment vertical="center"/>
    </xf>
    <xf numFmtId="0" fontId="14" fillId="0" borderId="13" xfId="0" applyFont="1" applyBorder="1" applyAlignment="1">
      <alignment horizontal="center" vertical="center" wrapText="1"/>
    </xf>
    <xf numFmtId="176" fontId="14" fillId="0" borderId="14" xfId="0" applyNumberFormat="1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76" fontId="14" fillId="0" borderId="19" xfId="0" applyNumberFormat="1" applyFont="1" applyBorder="1" applyAlignment="1">
      <alignment vertical="center" wrapText="1"/>
    </xf>
    <xf numFmtId="176" fontId="14" fillId="0" borderId="20" xfId="0" applyNumberFormat="1" applyFont="1" applyBorder="1" applyAlignment="1">
      <alignment vertical="center" wrapText="1"/>
    </xf>
    <xf numFmtId="0" fontId="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584201</xdr:colOff>
      <xdr:row>15</xdr:row>
      <xdr:rowOff>119062</xdr:rowOff>
    </xdr:from>
    <xdr:to>
      <xdr:col>10</xdr:col>
      <xdr:colOff>20638</xdr:colOff>
      <xdr:row>17</xdr:row>
      <xdr:rowOff>166687</xdr:rowOff>
    </xdr:to>
    <xdr:sp macro="" textlink="">
      <xdr:nvSpPr>
        <xdr:cNvPr id="2" name="右中かっこ 6">
          <a:extLst>
            <a:ext uri="{FF2B5EF4-FFF2-40B4-BE49-F238E27FC236}">
              <a16:creationId xmlns:a16="http://schemas.microsoft.com/office/drawing/2014/main" id="{872EB4E0-6DA3-4602-86DA-FF78F7E8C802}"/>
            </a:ext>
          </a:extLst>
        </xdr:cNvPr>
        <xdr:cNvSpPr>
          <a:spLocks/>
        </xdr:cNvSpPr>
      </xdr:nvSpPr>
      <xdr:spPr bwMode="auto">
        <a:xfrm>
          <a:off x="8477251" y="3446462"/>
          <a:ext cx="115887" cy="466725"/>
        </a:xfrm>
        <a:prstGeom prst="rightBrace">
          <a:avLst>
            <a:gd name="adj1" fmla="val 3708"/>
            <a:gd name="adj2" fmla="val 50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69850</xdr:colOff>
          <xdr:row>3</xdr:row>
          <xdr:rowOff>152400</xdr:rowOff>
        </xdr:from>
        <xdr:to>
          <xdr:col>11</xdr:col>
          <xdr:colOff>539750</xdr:colOff>
          <xdr:row>8</xdr:row>
          <xdr:rowOff>63500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05B75FA-3FF6-4A62-9075-BDE605A0A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別紙集計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</xdr:row>
          <xdr:rowOff>158750</xdr:rowOff>
        </xdr:from>
        <xdr:to>
          <xdr:col>11</xdr:col>
          <xdr:colOff>488950</xdr:colOff>
          <xdr:row>14</xdr:row>
          <xdr:rowOff>6350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17D916C-0506-48DF-8DA8-76DE5677C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31750</xdr:colOff>
          <xdr:row>9</xdr:row>
          <xdr:rowOff>177800</xdr:rowOff>
        </xdr:from>
        <xdr:to>
          <xdr:col>14</xdr:col>
          <xdr:colOff>425450</xdr:colOff>
          <xdr:row>14</xdr:row>
          <xdr:rowOff>25400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DBEB79D-5065-4A17-B0D4-9D001D9ABC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印刷（2部）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69850</xdr:colOff>
          <xdr:row>3</xdr:row>
          <xdr:rowOff>184150</xdr:rowOff>
        </xdr:from>
        <xdr:to>
          <xdr:col>14</xdr:col>
          <xdr:colOff>488950</xdr:colOff>
          <xdr:row>8</xdr:row>
          <xdr:rowOff>6350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199323F-AA3D-4A02-A137-7A6573585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印刷（1部）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men-PC\Downloads\&#26989;&#21209;&#12501;&#12449;&#12452;&#12523;&#26368;&#26032;&#65288;&#20196;&#21644;&#65304;.4.1&#65374;&#65289;&#32232;&#38598;&#20013;.xlsm" TargetMode="External"/><Relationship Id="rId1" Type="http://schemas.openxmlformats.org/officeDocument/2006/relationships/externalLinkPath" Target="&#26989;&#21209;&#12501;&#12449;&#12452;&#12523;&#26368;&#26032;&#65288;&#20196;&#21644;&#65304;.4.1&#65374;&#65289;&#32232;&#38598;&#2001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基本情報"/>
      <sheetName val="CMリスト"/>
      <sheetName val="現在・解約"/>
      <sheetName val="現在・解約（自費）"/>
      <sheetName val="追加"/>
      <sheetName val="解約入力用"/>
      <sheetName val="メンテ入力用"/>
      <sheetName val="新ﾚﾝﾀﾙ受注票"/>
      <sheetName val="新ﾚﾝﾀﾙ受注票②"/>
      <sheetName val="集金受注票"/>
      <sheetName val="メンテ受注票"/>
      <sheetName val="メンテ処理書"/>
      <sheetName val="レンタル申込書"/>
      <sheetName val="ﾚﾝﾀﾙ申込書大川(介)"/>
      <sheetName val="ﾚﾝﾀﾙ申込書大川(自)"/>
      <sheetName val="FBﾚﾝﾀﾙ注文票"/>
      <sheetName val="FB販売注文票"/>
      <sheetName val="入替後個別用"/>
      <sheetName val="入替後別紙用"/>
      <sheetName val="個別"/>
      <sheetName val="個別②"/>
      <sheetName val="モニタリングシート"/>
      <sheetName val="モニタリングシート（自費）"/>
      <sheetName val="モニタリング(選択制用)"/>
      <sheetName val="用具一覧"/>
      <sheetName val="提案書"/>
      <sheetName val="提案書②"/>
      <sheetName val="貸与報告書"/>
      <sheetName val="別紙"/>
      <sheetName val="種目別利用目標・留意点"/>
      <sheetName val="入替後種目"/>
      <sheetName val="介護新規契約書"/>
      <sheetName val="自費新規契約書"/>
      <sheetName val="自費追加契約書"/>
      <sheetName val="特福個別サンプル"/>
      <sheetName val="設定"/>
    </sheetNames>
    <definedNames>
      <definedName name="印刷"/>
      <definedName name="印刷2部"/>
      <definedName name="契約書別紙集計_高速安全版.契約書別紙集計_高速安全版"/>
      <definedName name="別紙保存"/>
    </definedNames>
    <sheetDataSet>
      <sheetData sheetId="0">
        <row r="5">
          <cell r="K5" t="str">
            <v>ケアプランHana船橋</v>
          </cell>
          <cell r="Q5" t="str">
            <v>堀川 理江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F3" t="str">
            <v>00030-000142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8D71-4A9B-40A1-873A-17C22690DD82}">
  <sheetPr codeName="Sheet8">
    <pageSetUpPr fitToPage="1"/>
  </sheetPr>
  <dimension ref="A1:P51"/>
  <sheetViews>
    <sheetView showGridLines="0" tabSelected="1" view="pageBreakPreview" topLeftCell="A8" zoomScale="85" zoomScaleNormal="100" zoomScaleSheetLayoutView="85" workbookViewId="0">
      <selection activeCell="B14" sqref="B14"/>
    </sheetView>
  </sheetViews>
  <sheetFormatPr defaultColWidth="8.9140625" defaultRowHeight="18" x14ac:dyDescent="0.55000000000000004"/>
  <cols>
    <col min="1" max="1" width="15.9140625" style="10" customWidth="1"/>
    <col min="2" max="2" width="41.4140625" style="10" customWidth="1"/>
    <col min="3" max="3" width="8.08203125" style="10" customWidth="1"/>
    <col min="4" max="4" width="4.58203125" style="10" customWidth="1"/>
    <col min="5" max="5" width="2.9140625" style="10" customWidth="1"/>
    <col min="6" max="6" width="9.4140625" style="10" customWidth="1"/>
    <col min="7" max="7" width="2.9140625" style="10" customWidth="1"/>
    <col min="8" max="8" width="9.4140625" style="10" customWidth="1"/>
  </cols>
  <sheetData>
    <row r="1" spans="1:16" ht="18.75" customHeight="1" x14ac:dyDescent="0.55000000000000004">
      <c r="A1" s="1" t="s">
        <v>0</v>
      </c>
      <c r="B1" s="2"/>
      <c r="C1" s="2"/>
      <c r="D1" s="2"/>
      <c r="E1" s="2"/>
      <c r="F1" s="2"/>
      <c r="G1" s="2"/>
      <c r="H1" s="2"/>
    </row>
    <row r="2" spans="1:16" x14ac:dyDescent="0.55000000000000004">
      <c r="A2" s="3" t="s">
        <v>1</v>
      </c>
      <c r="B2" s="2"/>
      <c r="C2" s="2"/>
      <c r="D2" s="2"/>
      <c r="E2" s="2"/>
      <c r="F2" s="2"/>
      <c r="G2" s="2"/>
      <c r="H2" s="2"/>
    </row>
    <row r="3" spans="1:16" ht="17.899999999999999" customHeight="1" x14ac:dyDescent="0.55000000000000004">
      <c r="A3" s="4"/>
      <c r="B3" s="5"/>
      <c r="C3" s="5"/>
      <c r="D3" s="5"/>
      <c r="E3" s="5"/>
      <c r="F3" s="5"/>
      <c r="G3" s="5"/>
      <c r="H3" s="5"/>
    </row>
    <row r="4" spans="1:16" ht="17.899999999999999" customHeight="1" x14ac:dyDescent="0.55000000000000004">
      <c r="A4" s="6" t="str">
        <f>+[1]基本情報!D3&amp;" "&amp;[1]基本情報!E3</f>
        <v xml:space="preserve"> </v>
      </c>
      <c r="B4" s="5" t="s">
        <v>2</v>
      </c>
      <c r="C4" s="5"/>
      <c r="D4" s="5"/>
      <c r="E4" s="5"/>
      <c r="F4" s="5"/>
      <c r="G4" s="5"/>
      <c r="H4" s="5"/>
    </row>
    <row r="5" spans="1:16" ht="17.899999999999999" customHeight="1" x14ac:dyDescent="0.55000000000000004">
      <c r="A5" s="7"/>
      <c r="B5" s="5"/>
      <c r="C5" s="5"/>
      <c r="D5" s="5"/>
      <c r="E5" s="5"/>
      <c r="F5" s="5"/>
      <c r="G5" s="5"/>
      <c r="H5" s="5"/>
    </row>
    <row r="6" spans="1:16" ht="17.899999999999999" customHeight="1" x14ac:dyDescent="0.55000000000000004">
      <c r="A6" s="8" t="s">
        <v>3</v>
      </c>
      <c r="B6" s="9"/>
      <c r="C6" s="9"/>
      <c r="D6" s="9"/>
      <c r="E6" s="9"/>
      <c r="F6" s="9"/>
      <c r="G6" s="9"/>
      <c r="H6" s="9"/>
    </row>
    <row r="7" spans="1:16" ht="17.899999999999999" customHeight="1" x14ac:dyDescent="0.55000000000000004">
      <c r="A7" s="7"/>
    </row>
    <row r="8" spans="1:16" ht="17.899999999999999" customHeight="1" x14ac:dyDescent="0.55000000000000004">
      <c r="A8" s="11" t="str">
        <f>"令和8年 "&amp; E10 &amp; "・" &amp; G10 &amp; "月利用料金"</f>
        <v>令和8年 1・2月利用料金</v>
      </c>
      <c r="B8" s="2"/>
      <c r="C8" s="2"/>
      <c r="D8" s="2"/>
      <c r="E8" s="2"/>
      <c r="F8" s="2"/>
      <c r="G8" s="2"/>
      <c r="H8" s="2"/>
    </row>
    <row r="9" spans="1:16" ht="17.899999999999999" customHeight="1" x14ac:dyDescent="0.55000000000000004">
      <c r="A9" s="12"/>
      <c r="B9" s="12"/>
      <c r="C9" s="13"/>
      <c r="D9" s="14"/>
      <c r="E9" s="15"/>
      <c r="F9" s="14"/>
      <c r="G9" s="15"/>
      <c r="H9" s="14"/>
    </row>
    <row r="10" spans="1:16" ht="17.899999999999999" customHeight="1" thickBot="1" x14ac:dyDescent="0.6">
      <c r="A10" s="16" t="s">
        <v>4</v>
      </c>
      <c r="B10" s="17" t="s">
        <v>5</v>
      </c>
      <c r="C10" s="18" t="s">
        <v>6</v>
      </c>
      <c r="D10" s="19" t="s">
        <v>7</v>
      </c>
      <c r="E10" s="20">
        <v>1</v>
      </c>
      <c r="F10" s="21" t="s">
        <v>8</v>
      </c>
      <c r="G10" s="20">
        <f>E10+1</f>
        <v>2</v>
      </c>
      <c r="H10" s="22" t="s">
        <v>8</v>
      </c>
    </row>
    <row r="11" spans="1:16" ht="17.899999999999999" customHeight="1" thickTop="1" x14ac:dyDescent="0.55000000000000004">
      <c r="A11" s="23" t="s">
        <v>9</v>
      </c>
      <c r="B11" s="24" t="s">
        <v>10</v>
      </c>
      <c r="C11" s="25">
        <v>50</v>
      </c>
      <c r="D11" s="26">
        <v>3</v>
      </c>
      <c r="E11" s="27"/>
      <c r="F11" s="28">
        <v>150</v>
      </c>
      <c r="G11" s="29"/>
      <c r="H11" s="30">
        <v>150</v>
      </c>
      <c r="P11" s="31" t="str">
        <f>[1]入替後別紙用!F3</f>
        <v>00030-000142</v>
      </c>
    </row>
    <row r="12" spans="1:16" ht="17.899999999999999" customHeight="1" x14ac:dyDescent="0.55000000000000004">
      <c r="A12" s="23" t="s">
        <v>9</v>
      </c>
      <c r="B12" s="24" t="s">
        <v>11</v>
      </c>
      <c r="C12" s="25">
        <v>25</v>
      </c>
      <c r="D12" s="32">
        <v>5</v>
      </c>
      <c r="E12" s="33"/>
      <c r="F12" s="34">
        <v>125</v>
      </c>
      <c r="G12" s="35"/>
      <c r="H12" s="36">
        <v>125</v>
      </c>
      <c r="P12" s="31">
        <f>[1]入替後別紙用!F4</f>
        <v>0</v>
      </c>
    </row>
    <row r="13" spans="1:16" ht="17.899999999999999" customHeight="1" x14ac:dyDescent="0.55000000000000004">
      <c r="A13" s="23" t="s">
        <v>9</v>
      </c>
      <c r="B13" s="24" t="s">
        <v>12</v>
      </c>
      <c r="C13" s="25">
        <v>110</v>
      </c>
      <c r="D13" s="32">
        <v>1</v>
      </c>
      <c r="E13" s="33"/>
      <c r="F13" s="34">
        <v>55</v>
      </c>
      <c r="G13" s="35"/>
      <c r="H13" s="36">
        <v>110</v>
      </c>
      <c r="P13" s="31">
        <f>[1]入替後別紙用!F5</f>
        <v>0</v>
      </c>
    </row>
    <row r="14" spans="1:16" ht="16.649999999999999" customHeight="1" x14ac:dyDescent="0.55000000000000004">
      <c r="A14" s="23"/>
      <c r="B14" s="24"/>
      <c r="C14" s="25"/>
      <c r="D14" s="32"/>
      <c r="E14" s="33"/>
      <c r="F14" s="34"/>
      <c r="G14" s="35"/>
      <c r="H14" s="36"/>
      <c r="P14" s="31">
        <f>[1]入替後別紙用!F6</f>
        <v>0</v>
      </c>
    </row>
    <row r="15" spans="1:16" ht="16.649999999999999" customHeight="1" x14ac:dyDescent="0.55000000000000004">
      <c r="A15" s="23"/>
      <c r="B15" s="24"/>
      <c r="C15" s="25"/>
      <c r="D15" s="32"/>
      <c r="E15" s="33"/>
      <c r="F15" s="34"/>
      <c r="G15" s="35"/>
      <c r="H15" s="36"/>
      <c r="P15" s="31">
        <f>[1]入替後別紙用!F7</f>
        <v>0</v>
      </c>
    </row>
    <row r="16" spans="1:16" ht="16.649999999999999" customHeight="1" x14ac:dyDescent="0.55000000000000004">
      <c r="A16" s="23"/>
      <c r="B16" s="24"/>
      <c r="C16" s="25"/>
      <c r="D16" s="32"/>
      <c r="E16" s="33"/>
      <c r="F16" s="34"/>
      <c r="G16" s="35"/>
      <c r="H16" s="36"/>
      <c r="P16" s="31">
        <f>[1]入替後別紙用!F8</f>
        <v>0</v>
      </c>
    </row>
    <row r="17" spans="1:16" ht="16.649999999999999" customHeight="1" x14ac:dyDescent="0.55000000000000004">
      <c r="A17" s="23"/>
      <c r="B17" s="24"/>
      <c r="C17" s="25"/>
      <c r="D17" s="32"/>
      <c r="E17" s="33"/>
      <c r="F17" s="34"/>
      <c r="G17" s="35"/>
      <c r="H17" s="36"/>
      <c r="P17" s="31">
        <f>[1]入替後別紙用!F9</f>
        <v>0</v>
      </c>
    </row>
    <row r="18" spans="1:16" ht="16.649999999999999" customHeight="1" x14ac:dyDescent="0.55000000000000004">
      <c r="A18" s="23"/>
      <c r="B18" s="24"/>
      <c r="C18" s="25"/>
      <c r="D18" s="32"/>
      <c r="E18" s="33"/>
      <c r="F18" s="34"/>
      <c r="G18" s="35"/>
      <c r="H18" s="36"/>
      <c r="P18" s="31">
        <f>[1]入替後別紙用!F10</f>
        <v>0</v>
      </c>
    </row>
    <row r="19" spans="1:16" ht="16.649999999999999" customHeight="1" x14ac:dyDescent="0.55000000000000004">
      <c r="A19" s="23"/>
      <c r="B19" s="24"/>
      <c r="C19" s="25"/>
      <c r="D19" s="32"/>
      <c r="E19" s="33"/>
      <c r="F19" s="34"/>
      <c r="G19" s="35"/>
      <c r="H19" s="36"/>
      <c r="P19" s="31">
        <f>[1]入替後別紙用!F11</f>
        <v>0</v>
      </c>
    </row>
    <row r="20" spans="1:16" ht="16.649999999999999" customHeight="1" x14ac:dyDescent="0.55000000000000004">
      <c r="A20" s="23"/>
      <c r="B20" s="24"/>
      <c r="C20" s="25"/>
      <c r="D20" s="32"/>
      <c r="E20" s="33"/>
      <c r="F20" s="34"/>
      <c r="G20" s="35"/>
      <c r="H20" s="36"/>
      <c r="P20" s="31">
        <f>[1]入替後別紙用!F12</f>
        <v>0</v>
      </c>
    </row>
    <row r="21" spans="1:16" ht="16.649999999999999" customHeight="1" x14ac:dyDescent="0.55000000000000004">
      <c r="A21" s="23"/>
      <c r="B21" s="24"/>
      <c r="C21" s="25"/>
      <c r="D21" s="32"/>
      <c r="E21" s="33"/>
      <c r="F21" s="34"/>
      <c r="G21" s="35"/>
      <c r="H21" s="36"/>
      <c r="P21" s="31">
        <f>[1]入替後別紙用!F13</f>
        <v>0</v>
      </c>
    </row>
    <row r="22" spans="1:16" ht="16.649999999999999" customHeight="1" x14ac:dyDescent="0.55000000000000004">
      <c r="A22" s="23"/>
      <c r="B22" s="24"/>
      <c r="C22" s="25"/>
      <c r="D22" s="32"/>
      <c r="E22" s="33"/>
      <c r="F22" s="34"/>
      <c r="G22" s="35"/>
      <c r="H22" s="36"/>
      <c r="P22" s="31">
        <f>[1]入替後別紙用!F14</f>
        <v>0</v>
      </c>
    </row>
    <row r="23" spans="1:16" ht="16.649999999999999" customHeight="1" x14ac:dyDescent="0.55000000000000004">
      <c r="A23" s="23"/>
      <c r="B23" s="24"/>
      <c r="C23" s="25"/>
      <c r="D23" s="32"/>
      <c r="E23" s="33"/>
      <c r="F23" s="34"/>
      <c r="G23" s="35"/>
      <c r="H23" s="36"/>
      <c r="P23" s="31">
        <f>[1]入替後別紙用!F15</f>
        <v>0</v>
      </c>
    </row>
    <row r="24" spans="1:16" ht="16.649999999999999" customHeight="1" x14ac:dyDescent="0.55000000000000004">
      <c r="A24" s="23"/>
      <c r="B24" s="24"/>
      <c r="C24" s="25"/>
      <c r="D24" s="32"/>
      <c r="E24" s="33"/>
      <c r="F24" s="34"/>
      <c r="G24" s="35"/>
      <c r="H24" s="36"/>
      <c r="P24" s="31">
        <f>[1]入替後別紙用!F16</f>
        <v>0</v>
      </c>
    </row>
    <row r="25" spans="1:16" ht="16.649999999999999" customHeight="1" x14ac:dyDescent="0.55000000000000004">
      <c r="A25" s="23"/>
      <c r="B25" s="24"/>
      <c r="C25" s="25"/>
      <c r="D25" s="32"/>
      <c r="E25" s="33"/>
      <c r="F25" s="34"/>
      <c r="G25" s="35"/>
      <c r="H25" s="36"/>
      <c r="P25" s="31">
        <f>[1]入替後別紙用!F17</f>
        <v>0</v>
      </c>
    </row>
    <row r="26" spans="1:16" ht="16.649999999999999" customHeight="1" thickBot="1" x14ac:dyDescent="0.6">
      <c r="A26" s="23"/>
      <c r="B26" s="24"/>
      <c r="C26" s="25"/>
      <c r="D26" s="32"/>
      <c r="E26" s="33"/>
      <c r="F26" s="34"/>
      <c r="G26" s="35"/>
      <c r="H26" s="36"/>
      <c r="P26" s="31">
        <f>[1]入替後別紙用!F18</f>
        <v>0</v>
      </c>
    </row>
    <row r="27" spans="1:16" ht="16.649999999999999" customHeight="1" thickTop="1" x14ac:dyDescent="0.55000000000000004">
      <c r="A27" s="37" t="s">
        <v>13</v>
      </c>
      <c r="B27" s="38"/>
      <c r="C27" s="38"/>
      <c r="D27" s="38"/>
      <c r="E27" s="39">
        <f>+SUM(E11:F26)</f>
        <v>330</v>
      </c>
      <c r="F27" s="40"/>
      <c r="G27" s="39">
        <f>+SUM(G11:H26)</f>
        <v>385</v>
      </c>
      <c r="H27" s="40"/>
    </row>
    <row r="28" spans="1:16" ht="17.399999999999999" customHeight="1" x14ac:dyDescent="0.55000000000000004">
      <c r="A28" s="7"/>
    </row>
    <row r="29" spans="1:16" ht="17.399999999999999" customHeight="1" x14ac:dyDescent="0.55000000000000004">
      <c r="A29" s="8" t="s">
        <v>14</v>
      </c>
      <c r="B29" s="2"/>
      <c r="C29" s="2"/>
      <c r="D29" s="2"/>
      <c r="E29" s="2"/>
      <c r="F29" s="2"/>
      <c r="G29" s="2"/>
      <c r="H29" s="2"/>
    </row>
    <row r="30" spans="1:16" ht="17.399999999999999" customHeight="1" x14ac:dyDescent="0.55000000000000004">
      <c r="A30" s="8" t="s">
        <v>15</v>
      </c>
      <c r="B30" s="2"/>
      <c r="C30" s="2"/>
      <c r="D30" s="2"/>
      <c r="E30" s="2"/>
      <c r="F30" s="2"/>
      <c r="G30" s="2"/>
      <c r="H30" s="2"/>
    </row>
    <row r="31" spans="1:16" ht="17.399999999999999" customHeight="1" x14ac:dyDescent="0.55000000000000004">
      <c r="A31" s="41" t="s">
        <v>16</v>
      </c>
    </row>
    <row r="32" spans="1:16" ht="17.399999999999999" customHeight="1" x14ac:dyDescent="0.55000000000000004">
      <c r="A32" s="8" t="s">
        <v>17</v>
      </c>
      <c r="B32" s="2"/>
      <c r="C32" s="2"/>
      <c r="D32" s="2"/>
      <c r="E32" s="2"/>
      <c r="F32" s="2"/>
      <c r="G32" s="2"/>
      <c r="H32" s="2"/>
    </row>
    <row r="33" spans="1:8" ht="17.399999999999999" customHeight="1" x14ac:dyDescent="0.55000000000000004">
      <c r="A33" s="8" t="s">
        <v>18</v>
      </c>
      <c r="B33" s="2"/>
      <c r="C33" s="2"/>
      <c r="D33" s="2"/>
      <c r="E33" s="2"/>
      <c r="F33" s="2"/>
      <c r="G33" s="2"/>
      <c r="H33" s="2"/>
    </row>
    <row r="34" spans="1:8" ht="17.399999999999999" customHeight="1" x14ac:dyDescent="0.55000000000000004">
      <c r="A34" s="8" t="s">
        <v>19</v>
      </c>
      <c r="B34" s="2"/>
      <c r="C34" s="2"/>
      <c r="D34" s="2"/>
      <c r="E34" s="2"/>
      <c r="F34" s="2"/>
      <c r="G34" s="2"/>
      <c r="H34" s="2"/>
    </row>
    <row r="35" spans="1:8" ht="17.399999999999999" customHeight="1" x14ac:dyDescent="0.55000000000000004">
      <c r="A35" s="7"/>
    </row>
    <row r="36" spans="1:8" ht="17.399999999999999" customHeight="1" x14ac:dyDescent="0.55000000000000004">
      <c r="A36" s="8" t="s">
        <v>20</v>
      </c>
      <c r="B36" s="2"/>
      <c r="C36" s="2"/>
      <c r="D36" s="2"/>
      <c r="E36" s="2"/>
      <c r="F36" s="2"/>
      <c r="G36" s="2"/>
      <c r="H36" s="2"/>
    </row>
    <row r="37" spans="1:8" ht="17.399999999999999" customHeight="1" x14ac:dyDescent="0.55000000000000004">
      <c r="A37" s="41" t="s">
        <v>21</v>
      </c>
    </row>
    <row r="38" spans="1:8" ht="17.399999999999999" customHeight="1" x14ac:dyDescent="0.55000000000000004">
      <c r="A38" s="8" t="s">
        <v>22</v>
      </c>
      <c r="B38" s="2"/>
      <c r="C38" s="2"/>
      <c r="D38" s="2"/>
      <c r="E38" s="2"/>
      <c r="F38" s="2"/>
      <c r="G38" s="2"/>
      <c r="H38" s="2"/>
    </row>
    <row r="39" spans="1:8" ht="17.399999999999999" customHeight="1" x14ac:dyDescent="0.55000000000000004">
      <c r="A39" s="41" t="s">
        <v>23</v>
      </c>
    </row>
    <row r="40" spans="1:8" ht="10.5" customHeight="1" x14ac:dyDescent="0.55000000000000004">
      <c r="A40" s="41"/>
    </row>
    <row r="41" spans="1:8" ht="17.399999999999999" customHeight="1" x14ac:dyDescent="0.55000000000000004">
      <c r="A41" s="8" t="s">
        <v>24</v>
      </c>
      <c r="B41" s="2"/>
      <c r="C41" s="2"/>
      <c r="D41" s="2"/>
      <c r="E41" s="2"/>
      <c r="F41" s="2"/>
      <c r="G41" s="2"/>
      <c r="H41" s="2"/>
    </row>
    <row r="42" spans="1:8" ht="12" customHeight="1" x14ac:dyDescent="0.55000000000000004">
      <c r="A42" s="8" t="s">
        <v>25</v>
      </c>
      <c r="B42" s="2"/>
      <c r="C42" s="2"/>
      <c r="D42" s="2"/>
      <c r="E42" s="2"/>
      <c r="F42" s="2"/>
      <c r="G42" s="2"/>
      <c r="H42" s="2"/>
    </row>
    <row r="43" spans="1:8" ht="17.399999999999999" customHeight="1" x14ac:dyDescent="0.55000000000000004">
      <c r="A43" s="8" t="s">
        <v>26</v>
      </c>
      <c r="B43" s="2"/>
      <c r="C43" s="2"/>
      <c r="D43" s="2"/>
      <c r="E43" s="2"/>
      <c r="F43" s="2"/>
      <c r="G43" s="2"/>
      <c r="H43" s="2"/>
    </row>
    <row r="44" spans="1:8" ht="10.5" customHeight="1" x14ac:dyDescent="0.55000000000000004">
      <c r="A44" s="7"/>
    </row>
    <row r="45" spans="1:8" ht="17.399999999999999" customHeight="1" x14ac:dyDescent="0.55000000000000004">
      <c r="A45" s="8" t="s">
        <v>27</v>
      </c>
      <c r="B45" s="2"/>
      <c r="C45" s="2"/>
      <c r="D45" s="2"/>
      <c r="E45" s="2"/>
      <c r="F45" s="2"/>
      <c r="G45" s="2"/>
      <c r="H45" s="2"/>
    </row>
    <row r="46" spans="1:8" ht="17.399999999999999" customHeight="1" x14ac:dyDescent="0.55000000000000004">
      <c r="A46" s="7"/>
    </row>
    <row r="47" spans="1:8" ht="17.399999999999999" customHeight="1" x14ac:dyDescent="0.55000000000000004">
      <c r="A47" s="8" t="s">
        <v>28</v>
      </c>
      <c r="B47" s="2"/>
      <c r="C47" s="2"/>
      <c r="D47" s="2"/>
      <c r="E47" s="2"/>
      <c r="F47" s="2"/>
      <c r="G47" s="2"/>
      <c r="H47" s="2"/>
    </row>
    <row r="48" spans="1:8" ht="17.399999999999999" customHeight="1" x14ac:dyDescent="0.55000000000000004">
      <c r="A48" s="8" t="s">
        <v>29</v>
      </c>
      <c r="B48" s="2"/>
      <c r="C48" s="2"/>
      <c r="D48" s="2"/>
      <c r="E48" s="2"/>
      <c r="F48" s="2"/>
      <c r="G48" s="2"/>
      <c r="H48" s="2"/>
    </row>
    <row r="49" spans="1:8" ht="17.399999999999999" customHeight="1" x14ac:dyDescent="0.55000000000000004">
      <c r="A49" s="8" t="s">
        <v>30</v>
      </c>
      <c r="B49" s="2"/>
      <c r="C49" s="2"/>
      <c r="D49" s="2"/>
      <c r="E49" s="2"/>
      <c r="F49" s="2"/>
      <c r="G49" s="2"/>
      <c r="H49" s="2"/>
    </row>
    <row r="50" spans="1:8" ht="17.399999999999999" customHeight="1" x14ac:dyDescent="0.55000000000000004">
      <c r="A50" s="8" t="s">
        <v>31</v>
      </c>
      <c r="B50" s="2"/>
      <c r="C50" s="2"/>
      <c r="D50" s="2"/>
      <c r="E50" s="2"/>
      <c r="F50" s="2"/>
      <c r="G50" s="2"/>
      <c r="H50" s="2"/>
    </row>
    <row r="51" spans="1:8" ht="17.399999999999999" customHeight="1" x14ac:dyDescent="0.55000000000000004">
      <c r="A51" s="8" t="s">
        <v>32</v>
      </c>
      <c r="B51" s="2"/>
      <c r="C51" s="2"/>
      <c r="D51" s="2"/>
      <c r="E51" s="2"/>
      <c r="F51" s="2"/>
      <c r="G51" s="2"/>
      <c r="H51" s="2"/>
    </row>
  </sheetData>
  <mergeCells count="23">
    <mergeCell ref="A48:H48"/>
    <mergeCell ref="A49:H49"/>
    <mergeCell ref="A50:H50"/>
    <mergeCell ref="A51:H51"/>
    <mergeCell ref="A38:H38"/>
    <mergeCell ref="A41:H41"/>
    <mergeCell ref="A42:H42"/>
    <mergeCell ref="A43:H43"/>
    <mergeCell ref="A45:H45"/>
    <mergeCell ref="A47:H47"/>
    <mergeCell ref="A29:H29"/>
    <mergeCell ref="A30:H30"/>
    <mergeCell ref="A32:H32"/>
    <mergeCell ref="A33:H33"/>
    <mergeCell ref="A34:H34"/>
    <mergeCell ref="A36:H36"/>
    <mergeCell ref="A1:H1"/>
    <mergeCell ref="A2:H2"/>
    <mergeCell ref="A6:H6"/>
    <mergeCell ref="A8:H8"/>
    <mergeCell ref="A27:D27"/>
    <mergeCell ref="E27:F27"/>
    <mergeCell ref="G27:H27"/>
  </mergeCells>
  <phoneticPr fontId="3"/>
  <dataValidations count="1">
    <dataValidation type="list" allowBlank="1" showInputMessage="1" showErrorMessage="1" sqref="A51:H51" xr:uid="{46425EA9-F70E-4424-9CC6-4CF7F66B7FBB}">
      <formula1>"　　　　＜管理者名＞　　　　中　山　　健　司　　　㊞,　"</formula1>
    </dataValidation>
  </dataValidations>
  <printOptions horizontalCentered="1"/>
  <pageMargins left="0.23622047244094491" right="0.23622047244094491" top="0.19685039370078741" bottom="0.19685039370078741" header="0.31496062992125984" footer="0.31496062992125984"/>
  <pageSetup paperSize="9" scale="9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契約書別紙集計_高速安全版.契約書別紙集計_高速安全版">
                <anchor moveWithCells="1" sizeWithCells="1">
                  <from>
                    <xdr:col>9</xdr:col>
                    <xdr:colOff>69850</xdr:colOff>
                    <xdr:row>3</xdr:row>
                    <xdr:rowOff>152400</xdr:rowOff>
                  </from>
                  <to>
                    <xdr:col>11</xdr:col>
                    <xdr:colOff>539750</xdr:colOff>
                    <xdr:row>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別紙保存">
                <anchor moveWithCells="1" sizeWithCells="1">
                  <from>
                    <xdr:col>9</xdr:col>
                    <xdr:colOff>76200</xdr:colOff>
                    <xdr:row>9</xdr:row>
                    <xdr:rowOff>158750</xdr:rowOff>
                  </from>
                  <to>
                    <xdr:col>11</xdr:col>
                    <xdr:colOff>488950</xdr:colOff>
                    <xdr:row>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1]!印刷2部">
                <anchor moveWithCells="1" sizeWithCells="1">
                  <from>
                    <xdr:col>12</xdr:col>
                    <xdr:colOff>31750</xdr:colOff>
                    <xdr:row>9</xdr:row>
                    <xdr:rowOff>177800</xdr:rowOff>
                  </from>
                  <to>
                    <xdr:col>14</xdr:col>
                    <xdr:colOff>425450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 macro="[1]!印刷">
                <anchor moveWithCells="1" sizeWithCells="1">
                  <from>
                    <xdr:col>12</xdr:col>
                    <xdr:colOff>69850</xdr:colOff>
                    <xdr:row>3</xdr:row>
                    <xdr:rowOff>184150</xdr:rowOff>
                  </from>
                  <to>
                    <xdr:col>14</xdr:col>
                    <xdr:colOff>488950</xdr:colOff>
                    <xdr:row>8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別紙</vt:lpstr>
      <vt:lpstr>別紙!Print_Area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憲史 堂面</dc:creator>
  <cp:lastModifiedBy>憲史 堂面</cp:lastModifiedBy>
  <dcterms:created xsi:type="dcterms:W3CDTF">2026-04-30T14:07:30Z</dcterms:created>
  <dcterms:modified xsi:type="dcterms:W3CDTF">2026-04-30T14:07:59Z</dcterms:modified>
</cp:coreProperties>
</file>